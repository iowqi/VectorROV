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owqi\Desktop\GDProject\VectorROV\"/>
    </mc:Choice>
  </mc:AlternateContent>
  <xr:revisionPtr revIDLastSave="0" documentId="13_ncr:1_{AC01485A-0202-43AE-86BC-E955F07E29F5}" xr6:coauthVersionLast="47" xr6:coauthVersionMax="47" xr10:uidLastSave="{00000000-0000-0000-0000-000000000000}"/>
  <bookViews>
    <workbookView xWindow="-110" yWindow="-110" windowWidth="242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I10" i="1"/>
  <c r="F10" i="1"/>
  <c r="F21" i="1"/>
  <c r="I21" i="1" s="1"/>
  <c r="F7" i="1"/>
  <c r="I7" i="1" s="1"/>
  <c r="F3" i="1"/>
  <c r="I3" i="1" s="1"/>
  <c r="F4" i="1"/>
  <c r="I4" i="1" s="1"/>
  <c r="F5" i="1"/>
  <c r="I5" i="1" s="1"/>
  <c r="F6" i="1"/>
  <c r="I6" i="1" s="1"/>
  <c r="F8" i="1"/>
  <c r="I8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9" i="1"/>
  <c r="I9" i="1" s="1"/>
  <c r="F18" i="1"/>
  <c r="I18" i="1" s="1"/>
  <c r="F19" i="1"/>
  <c r="I19" i="1" s="1"/>
  <c r="F11" i="1"/>
  <c r="I11" i="1" s="1"/>
  <c r="F20" i="1"/>
  <c r="I20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I69" i="1" s="1"/>
  <c r="F70" i="1"/>
  <c r="I70" i="1" s="1"/>
  <c r="F71" i="1"/>
  <c r="I71" i="1" s="1"/>
  <c r="F72" i="1"/>
  <c r="I72" i="1" s="1"/>
  <c r="F73" i="1"/>
  <c r="I73" i="1" s="1"/>
  <c r="F74" i="1"/>
  <c r="I74" i="1" s="1"/>
  <c r="F75" i="1"/>
  <c r="I75" i="1" s="1"/>
  <c r="F76" i="1"/>
  <c r="I76" i="1" s="1"/>
  <c r="F77" i="1"/>
  <c r="I77" i="1" s="1"/>
  <c r="F78" i="1"/>
  <c r="I78" i="1" s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I85" i="1" s="1"/>
  <c r="F86" i="1"/>
  <c r="I86" i="1" s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I93" i="1" s="1"/>
  <c r="F94" i="1"/>
  <c r="I94" i="1" s="1"/>
  <c r="F95" i="1"/>
  <c r="I95" i="1" s="1"/>
  <c r="F96" i="1"/>
  <c r="I96" i="1" s="1"/>
  <c r="F97" i="1"/>
  <c r="I97" i="1" s="1"/>
  <c r="F98" i="1"/>
  <c r="I98" i="1" s="1"/>
  <c r="F99" i="1"/>
  <c r="I99" i="1" s="1"/>
  <c r="F100" i="1"/>
  <c r="I100" i="1" s="1"/>
  <c r="F101" i="1"/>
  <c r="I101" i="1" s="1"/>
  <c r="F102" i="1"/>
  <c r="I102" i="1" s="1"/>
  <c r="F103" i="1"/>
  <c r="I103" i="1" s="1"/>
  <c r="F104" i="1"/>
  <c r="I104" i="1" s="1"/>
  <c r="F105" i="1"/>
  <c r="I105" i="1" s="1"/>
  <c r="F106" i="1"/>
  <c r="I106" i="1" s="1"/>
  <c r="F107" i="1"/>
  <c r="I107" i="1" s="1"/>
  <c r="F108" i="1"/>
  <c r="I108" i="1" s="1"/>
  <c r="F109" i="1"/>
  <c r="I109" i="1" s="1"/>
  <c r="F110" i="1"/>
  <c r="I110" i="1" s="1"/>
  <c r="F111" i="1"/>
  <c r="I111" i="1" s="1"/>
  <c r="F112" i="1"/>
  <c r="I112" i="1" s="1"/>
  <c r="F113" i="1"/>
  <c r="I113" i="1" s="1"/>
  <c r="F114" i="1"/>
  <c r="I114" i="1" s="1"/>
  <c r="F115" i="1"/>
  <c r="I115" i="1" s="1"/>
  <c r="F116" i="1"/>
  <c r="I116" i="1" s="1"/>
  <c r="F117" i="1"/>
  <c r="I117" i="1" s="1"/>
  <c r="F118" i="1"/>
  <c r="I118" i="1" s="1"/>
  <c r="F119" i="1"/>
  <c r="I119" i="1" s="1"/>
  <c r="F120" i="1"/>
  <c r="I120" i="1" s="1"/>
  <c r="F121" i="1"/>
  <c r="I121" i="1" s="1"/>
  <c r="F122" i="1"/>
  <c r="I122" i="1" s="1"/>
  <c r="F123" i="1"/>
  <c r="I123" i="1" s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I129" i="1" s="1"/>
  <c r="F130" i="1"/>
  <c r="I130" i="1" s="1"/>
  <c r="F131" i="1"/>
  <c r="I131" i="1" s="1"/>
  <c r="F132" i="1"/>
  <c r="I132" i="1" s="1"/>
  <c r="F133" i="1"/>
  <c r="I133" i="1" s="1"/>
  <c r="F134" i="1"/>
  <c r="I134" i="1" s="1"/>
  <c r="F135" i="1"/>
  <c r="I135" i="1" s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I141" i="1" s="1"/>
  <c r="F142" i="1"/>
  <c r="I142" i="1" s="1"/>
  <c r="F143" i="1"/>
  <c r="I143" i="1" s="1"/>
  <c r="F144" i="1"/>
  <c r="I144" i="1" s="1"/>
  <c r="F145" i="1"/>
  <c r="I145" i="1" s="1"/>
  <c r="F146" i="1"/>
  <c r="I146" i="1" s="1"/>
  <c r="F147" i="1"/>
  <c r="I147" i="1" s="1"/>
  <c r="F148" i="1"/>
  <c r="I148" i="1" s="1"/>
  <c r="F149" i="1"/>
  <c r="I149" i="1" s="1"/>
  <c r="F150" i="1"/>
  <c r="I150" i="1" s="1"/>
  <c r="F151" i="1"/>
  <c r="I151" i="1" s="1"/>
  <c r="F152" i="1"/>
  <c r="I152" i="1" s="1"/>
  <c r="F153" i="1"/>
  <c r="I153" i="1" s="1"/>
  <c r="F154" i="1"/>
  <c r="I154" i="1" s="1"/>
  <c r="F155" i="1"/>
  <c r="I155" i="1" s="1"/>
  <c r="F156" i="1"/>
  <c r="I156" i="1" s="1"/>
  <c r="F157" i="1"/>
  <c r="I157" i="1" s="1"/>
  <c r="F158" i="1"/>
  <c r="I158" i="1" s="1"/>
  <c r="F159" i="1"/>
  <c r="I159" i="1" s="1"/>
  <c r="F160" i="1"/>
  <c r="I160" i="1" s="1"/>
  <c r="F161" i="1"/>
  <c r="I161" i="1" s="1"/>
  <c r="F162" i="1"/>
  <c r="I162" i="1" s="1"/>
  <c r="F163" i="1"/>
  <c r="I163" i="1" s="1"/>
  <c r="F164" i="1"/>
  <c r="I164" i="1" s="1"/>
  <c r="F165" i="1"/>
  <c r="I165" i="1" s="1"/>
  <c r="F166" i="1"/>
  <c r="I166" i="1" s="1"/>
  <c r="F167" i="1"/>
  <c r="I167" i="1" s="1"/>
  <c r="F168" i="1"/>
  <c r="I168" i="1" s="1"/>
  <c r="F169" i="1"/>
  <c r="I169" i="1" s="1"/>
  <c r="F170" i="1"/>
  <c r="I170" i="1" s="1"/>
  <c r="F171" i="1"/>
  <c r="I171" i="1" s="1"/>
  <c r="F172" i="1"/>
  <c r="I172" i="1" s="1"/>
  <c r="F173" i="1"/>
  <c r="I173" i="1" s="1"/>
  <c r="F174" i="1"/>
  <c r="I174" i="1" s="1"/>
  <c r="F175" i="1"/>
  <c r="I175" i="1" s="1"/>
  <c r="F176" i="1"/>
  <c r="I176" i="1" s="1"/>
  <c r="F177" i="1"/>
  <c r="I177" i="1" s="1"/>
  <c r="F178" i="1"/>
  <c r="I178" i="1" s="1"/>
  <c r="F179" i="1"/>
  <c r="I179" i="1" s="1"/>
  <c r="F180" i="1"/>
  <c r="I180" i="1" s="1"/>
  <c r="F181" i="1"/>
  <c r="I181" i="1" s="1"/>
  <c r="F182" i="1"/>
  <c r="I182" i="1" s="1"/>
  <c r="F183" i="1"/>
  <c r="I183" i="1" s="1"/>
  <c r="F184" i="1"/>
  <c r="I184" i="1" s="1"/>
  <c r="F185" i="1"/>
  <c r="I185" i="1" s="1"/>
  <c r="F186" i="1"/>
  <c r="I186" i="1" s="1"/>
  <c r="F187" i="1"/>
  <c r="I187" i="1" s="1"/>
  <c r="F188" i="1"/>
  <c r="I188" i="1" s="1"/>
  <c r="F189" i="1"/>
  <c r="I189" i="1" s="1"/>
  <c r="F190" i="1"/>
  <c r="I190" i="1" s="1"/>
  <c r="F191" i="1"/>
  <c r="I191" i="1" s="1"/>
  <c r="F192" i="1"/>
  <c r="I192" i="1" s="1"/>
  <c r="F193" i="1"/>
  <c r="I193" i="1" s="1"/>
  <c r="F194" i="1"/>
  <c r="I194" i="1" s="1"/>
  <c r="F195" i="1"/>
  <c r="I195" i="1" s="1"/>
  <c r="F196" i="1"/>
  <c r="I196" i="1" s="1"/>
  <c r="F197" i="1"/>
  <c r="I197" i="1" s="1"/>
  <c r="F198" i="1"/>
  <c r="I198" i="1" s="1"/>
  <c r="F199" i="1"/>
  <c r="I199" i="1" s="1"/>
  <c r="F200" i="1"/>
  <c r="I200" i="1" s="1"/>
  <c r="F201" i="1"/>
  <c r="I201" i="1" s="1"/>
  <c r="F202" i="1"/>
  <c r="I202" i="1" s="1"/>
  <c r="F203" i="1"/>
  <c r="I203" i="1" s="1"/>
  <c r="F204" i="1"/>
  <c r="I204" i="1" s="1"/>
  <c r="F205" i="1"/>
  <c r="I205" i="1" s="1"/>
  <c r="F206" i="1"/>
  <c r="I206" i="1" s="1"/>
  <c r="F207" i="1"/>
  <c r="I207" i="1" s="1"/>
  <c r="F208" i="1"/>
  <c r="I208" i="1" s="1"/>
  <c r="F209" i="1"/>
  <c r="I209" i="1" s="1"/>
  <c r="F210" i="1"/>
  <c r="I210" i="1" s="1"/>
  <c r="F211" i="1"/>
  <c r="I211" i="1" s="1"/>
  <c r="F212" i="1"/>
  <c r="I212" i="1" s="1"/>
  <c r="F213" i="1"/>
  <c r="I213" i="1" s="1"/>
  <c r="F214" i="1"/>
  <c r="I214" i="1" s="1"/>
  <c r="F215" i="1"/>
  <c r="I215" i="1" s="1"/>
  <c r="F216" i="1"/>
  <c r="I216" i="1" s="1"/>
  <c r="F217" i="1"/>
  <c r="I217" i="1" s="1"/>
  <c r="F218" i="1"/>
  <c r="I218" i="1" s="1"/>
  <c r="F219" i="1"/>
  <c r="I219" i="1" s="1"/>
  <c r="F220" i="1"/>
  <c r="I220" i="1" s="1"/>
  <c r="F221" i="1"/>
  <c r="I221" i="1" s="1"/>
  <c r="F222" i="1"/>
  <c r="I222" i="1" s="1"/>
  <c r="F223" i="1"/>
  <c r="I223" i="1" s="1"/>
  <c r="F224" i="1"/>
  <c r="I224" i="1" s="1"/>
  <c r="F225" i="1"/>
  <c r="I225" i="1" s="1"/>
  <c r="F226" i="1"/>
  <c r="I226" i="1" s="1"/>
  <c r="F227" i="1"/>
  <c r="I227" i="1" s="1"/>
  <c r="F228" i="1"/>
  <c r="I228" i="1" s="1"/>
  <c r="F229" i="1"/>
  <c r="I229" i="1" s="1"/>
  <c r="F230" i="1"/>
  <c r="I230" i="1" s="1"/>
  <c r="F231" i="1"/>
  <c r="I231" i="1" s="1"/>
  <c r="F232" i="1"/>
  <c r="I232" i="1" s="1"/>
  <c r="F233" i="1"/>
  <c r="I233" i="1" s="1"/>
  <c r="F234" i="1"/>
  <c r="I234" i="1" s="1"/>
  <c r="F235" i="1"/>
  <c r="I235" i="1" s="1"/>
  <c r="F236" i="1"/>
  <c r="I236" i="1" s="1"/>
  <c r="F237" i="1"/>
  <c r="I237" i="1" s="1"/>
  <c r="F238" i="1"/>
  <c r="I238" i="1" s="1"/>
  <c r="F239" i="1"/>
  <c r="I239" i="1" s="1"/>
  <c r="F240" i="1"/>
  <c r="I240" i="1" s="1"/>
  <c r="F241" i="1"/>
  <c r="I241" i="1" s="1"/>
  <c r="F242" i="1"/>
  <c r="I242" i="1" s="1"/>
  <c r="F243" i="1"/>
  <c r="I243" i="1" s="1"/>
  <c r="F244" i="1"/>
  <c r="I244" i="1" s="1"/>
  <c r="F245" i="1"/>
  <c r="I245" i="1" s="1"/>
  <c r="F246" i="1"/>
  <c r="I246" i="1" s="1"/>
  <c r="F247" i="1"/>
  <c r="I247" i="1" s="1"/>
  <c r="F248" i="1"/>
  <c r="I248" i="1" s="1"/>
  <c r="F249" i="1"/>
  <c r="I249" i="1" s="1"/>
  <c r="F250" i="1"/>
  <c r="I250" i="1" s="1"/>
  <c r="F251" i="1"/>
  <c r="I251" i="1" s="1"/>
  <c r="F252" i="1"/>
  <c r="I252" i="1" s="1"/>
  <c r="F253" i="1"/>
  <c r="I253" i="1" s="1"/>
  <c r="F254" i="1"/>
  <c r="I254" i="1" s="1"/>
  <c r="F255" i="1"/>
  <c r="I255" i="1" s="1"/>
  <c r="F256" i="1"/>
  <c r="I256" i="1" s="1"/>
  <c r="F257" i="1"/>
  <c r="I257" i="1" s="1"/>
  <c r="F258" i="1"/>
  <c r="I258" i="1" s="1"/>
  <c r="F259" i="1"/>
  <c r="I259" i="1" s="1"/>
  <c r="F260" i="1"/>
  <c r="I260" i="1" s="1"/>
  <c r="F261" i="1"/>
  <c r="I261" i="1" s="1"/>
  <c r="F262" i="1"/>
  <c r="I262" i="1" s="1"/>
  <c r="F263" i="1"/>
  <c r="I263" i="1" s="1"/>
  <c r="F264" i="1"/>
  <c r="I264" i="1" s="1"/>
  <c r="F265" i="1"/>
  <c r="I265" i="1" s="1"/>
  <c r="F266" i="1"/>
  <c r="I266" i="1" s="1"/>
  <c r="F267" i="1"/>
  <c r="I267" i="1" s="1"/>
  <c r="F268" i="1"/>
  <c r="I268" i="1" s="1"/>
  <c r="F269" i="1"/>
  <c r="I269" i="1" s="1"/>
  <c r="F270" i="1"/>
  <c r="I270" i="1" s="1"/>
  <c r="F271" i="1"/>
  <c r="I271" i="1" s="1"/>
  <c r="F272" i="1"/>
  <c r="I272" i="1" s="1"/>
  <c r="F273" i="1"/>
  <c r="I273" i="1" s="1"/>
  <c r="F2" i="1"/>
  <c r="I2" i="1" s="1"/>
  <c r="K2" i="1" l="1"/>
  <c r="J19" i="1"/>
  <c r="J2" i="1"/>
  <c r="J7" i="1"/>
  <c r="J13" i="1"/>
  <c r="J5" i="1"/>
</calcChain>
</file>

<file path=xl/sharedStrings.xml><?xml version="1.0" encoding="utf-8"?>
<sst xmlns="http://schemas.openxmlformats.org/spreadsheetml/2006/main" count="73" uniqueCount="63">
  <si>
    <t>分类</t>
  </si>
  <si>
    <t>价格</t>
  </si>
  <si>
    <t>数量</t>
  </si>
  <si>
    <t>单价</t>
  </si>
  <si>
    <t>批量</t>
  </si>
  <si>
    <t>总价</t>
  </si>
  <si>
    <t>类总价</t>
  </si>
  <si>
    <t>BOM总价</t>
  </si>
  <si>
    <t>密封圈</t>
  </si>
  <si>
    <t>氟胶O型圈</t>
  </si>
  <si>
    <t>规格</t>
  </si>
  <si>
    <t>外径112*4</t>
  </si>
  <si>
    <t>外径60*4</t>
  </si>
  <si>
    <t>外径70*4</t>
  </si>
  <si>
    <t>名称/链接</t>
  </si>
  <si>
    <t>6S远航电池</t>
  </si>
  <si>
    <t>电池</t>
  </si>
  <si>
    <t>亿纬6S1P</t>
  </si>
  <si>
    <t>三元锂电保护板</t>
  </si>
  <si>
    <t>6S 50A+NTC温感</t>
  </si>
  <si>
    <t>运费</t>
  </si>
  <si>
    <t xml:space="preserve">GC2093摄像头 </t>
  </si>
  <si>
    <t>电子</t>
  </si>
  <si>
    <t>-</t>
  </si>
  <si>
    <t>DMH3510</t>
  </si>
  <si>
    <t>电机(含驱动)</t>
  </si>
  <si>
    <t>圆柱形磁铁</t>
  </si>
  <si>
    <t>5x15mm</t>
  </si>
  <si>
    <t>5x5mm</t>
  </si>
  <si>
    <t>10x15mm</t>
  </si>
  <si>
    <t>IP68防水开关</t>
  </si>
  <si>
    <t>尼龙POM轴承</t>
  </si>
  <si>
    <t>6006-2RS(密封)</t>
  </si>
  <si>
    <t>轴承</t>
  </si>
  <si>
    <t>深沟球轴承</t>
  </si>
  <si>
    <t>61806-2RS</t>
  </si>
  <si>
    <t>瑞莎Q6A</t>
  </si>
  <si>
    <t>磁铁</t>
  </si>
  <si>
    <t>GX16航空插头</t>
  </si>
  <si>
    <t>GX16-10芯{整套)</t>
  </si>
  <si>
    <t>304法兰防松螺母</t>
  </si>
  <si>
    <t>M6</t>
  </si>
  <si>
    <t>2312A无刷电机</t>
  </si>
  <si>
    <t>正螺纹</t>
  </si>
  <si>
    <t>热熔螺母</t>
  </si>
  <si>
    <t>M3*6*5</t>
  </si>
  <si>
    <t>M3X8</t>
  </si>
  <si>
    <t>M3X10</t>
  </si>
  <si>
    <t>M3X30</t>
  </si>
  <si>
    <t>杯头内六角</t>
  </si>
  <si>
    <t>M2.5X10</t>
  </si>
  <si>
    <t>M3X5</t>
  </si>
  <si>
    <t>沉头内梅花</t>
  </si>
  <si>
    <t>紧固件</t>
  </si>
  <si>
    <t>连接器</t>
  </si>
  <si>
    <t>N630电调</t>
  </si>
  <si>
    <t>亚克力半球</t>
  </si>
  <si>
    <t>60mm有边无孔</t>
  </si>
  <si>
    <t>LED聚光灯</t>
  </si>
  <si>
    <t>24V小号</t>
  </si>
  <si>
    <t>12G+256固态</t>
  </si>
  <si>
    <t>M2.5X15</t>
  </si>
  <si>
    <t>白色灯自复16mm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</si>
</sst>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918274679105&amp;from=cart&amp;skuId=5956275279443&amp;mi_id=0000jrjNs_x7ehMxbB2EN6xK3N4XGu436N1T_EoRlwxtVvc&amp;upStreamPrice=1125" TargetMode="External"/><Relationship Id="rId13" Type="http://schemas.openxmlformats.org/officeDocument/2006/relationships/hyperlink" Target="https://item.taobao.com/item.htm?id=962936728970&amp;from=cart&amp;skuId=6119740358776&amp;mi_id=0000HGPWSVGdtEYESPXYTTfFA6VzHT10tRpj8MTKbGJwusI&amp;upStreamPrice=87900" TargetMode="External"/><Relationship Id="rId18" Type="http://schemas.openxmlformats.org/officeDocument/2006/relationships/hyperlink" Target="https://item.taobao.com/item.htm?id=829276904010&amp;from=cart&amp;skuId=5739116711092&amp;mi_id=0000L_H75ilJZdX2soYQ9IgQGvVjA5klb0pWIXEAsK27id4&amp;upStreamPrice=706" TargetMode="External"/><Relationship Id="rId26" Type="http://schemas.openxmlformats.org/officeDocument/2006/relationships/hyperlink" Target="https://item.taobao.com/item.htm?id=654604396342&amp;mi_id=0000S09AzKO46RlFTwflNwkMInEzy4XbZ1SwvTNBqtGgxF8" TargetMode="External"/><Relationship Id="rId3" Type="http://schemas.openxmlformats.org/officeDocument/2006/relationships/hyperlink" Target="https://item.taobao.com/item.htm?id=774230751154&amp;from=cart&amp;skuId=5469033463787&amp;mi_id=0000OoAuoWmkmROkawR9XEK294Nh3BNDQOttEZ8znJP2fA8&amp;upStreamPrice=350" TargetMode="External"/><Relationship Id="rId21" Type="http://schemas.openxmlformats.org/officeDocument/2006/relationships/hyperlink" Target="https://item.taobao.com/item.htm?id=39229349352&amp;mi_id=0000gzmqhE0dMDkz6L8-I66-zWqzlm6Nkzwn_t3Na3svvoI" TargetMode="External"/><Relationship Id="rId7" Type="http://schemas.openxmlformats.org/officeDocument/2006/relationships/hyperlink" Target="https://item.taobao.com/item.htm?id=871173947758&amp;from=cart&amp;skuId=5872003791067&amp;mi_id=00005ijur_jlgY-K-RPsmhozKCoapaVzahcm1-GNV75Ghtc&amp;upStreamPrice=22000" TargetMode="External"/><Relationship Id="rId12" Type="http://schemas.openxmlformats.org/officeDocument/2006/relationships/hyperlink" Target="https://item.taobao.com/item.htm?spm=a1z0d.6639537/202410.item.d619718750156.5c5b7484guwC3a&amp;id=619718750156&amp;from=cart&amp;skuId=5738161741449&amp;mi_id=00001kME2ZU1ZmdcDFuE_mYFvpmqMlkbezFFe6Ycq1syAvg&amp;upStreamPrice=270" TargetMode="External"/><Relationship Id="rId17" Type="http://schemas.openxmlformats.org/officeDocument/2006/relationships/hyperlink" Target="https://item.taobao.com/item.htm?id=829126153985&amp;from=cart&amp;skuId=5576291013934&amp;mi_id=0000diM2_sJIUVexC3nkMKgAuehzy4sjnWUqQCLIFMGbjls&amp;upStreamPrice=920" TargetMode="External"/><Relationship Id="rId25" Type="http://schemas.openxmlformats.org/officeDocument/2006/relationships/hyperlink" Target="https://item.taobao.com/item.htm?id=779417305529&amp;mi_id=0000-tTI99gQzV0ze1JAv1Cid4Z3adHfppc9uOYo4-hqZvg" TargetMode="External"/><Relationship Id="rId2" Type="http://schemas.openxmlformats.org/officeDocument/2006/relationships/hyperlink" Target="https://item.taobao.com/item.htm?id=774230751154&amp;from=cart&amp;skuId=5469033463785&amp;mi_id=0000OoAuoWmkmROkawR9XEK294Nh3BNDQOttEZ8znJP2fA8&amp;upStreamPrice=330" TargetMode="External"/><Relationship Id="rId16" Type="http://schemas.openxmlformats.org/officeDocument/2006/relationships/hyperlink" Target="https://item.taobao.com/item.htm?id=965539482681&amp;mi_id=0000vo1RdLdP3nNMhg3BNTwI2RSlZUXaDXyFjKPyB-iGLR4" TargetMode="External"/><Relationship Id="rId20" Type="http://schemas.openxmlformats.org/officeDocument/2006/relationships/hyperlink" Target="https://item.taobao.com/item.htm?id=39229349352&amp;mi_id=0000gzmqhE0dMDkz6L8-I66-zWqzlm6Nkzwn_t3Na3svvoI" TargetMode="External"/><Relationship Id="rId1" Type="http://schemas.openxmlformats.org/officeDocument/2006/relationships/hyperlink" Target="https://item.taobao.com/item.htm?id=673574488705&amp;from=cart&amp;skuId=5711071359906&amp;mi_id=0000ezzfiTE3Qwk7Wplwo7CGVFrfvpDikYHIiU7HOQsUU5Y&amp;upStreamPrice=1620" TargetMode="External"/><Relationship Id="rId6" Type="http://schemas.openxmlformats.org/officeDocument/2006/relationships/hyperlink" Target="https://item.taobao.com/item.htm?spm=a1z0d.6639537%2F202410.item.d797044978629.48077484cTHZii&amp;id=797044978629&amp;from=cart&amp;skuId=5435698057369&amp;mi_id=0000H78klWKzsG-4bGR5WQ0x7mkP04LsMkxMe6u0tqcU33U&amp;upStreamPrice=2000" TargetMode="External"/><Relationship Id="rId11" Type="http://schemas.openxmlformats.org/officeDocument/2006/relationships/hyperlink" Target="https://item.taobao.com/item.htm?spm=a1z0d.6639537/202410.item.d782440333215.5c5b7484guwC3a&amp;id=782440333215&amp;from=cart&amp;skuId=5341835656817&amp;mi_id=0000dOkRHBowYPdnJ2EXjU_5GOK66mandA1dUiZxoNxk7gA&amp;upStreamPrice=370" TargetMode="External"/><Relationship Id="rId24" Type="http://schemas.openxmlformats.org/officeDocument/2006/relationships/hyperlink" Target="https://oshwhub.com/njupt-robomasters/n630" TargetMode="External"/><Relationship Id="rId5" Type="http://schemas.openxmlformats.org/officeDocument/2006/relationships/hyperlink" Target="https://item.taobao.com/item.htm?spm=a1z0d.6639537%2F202410.item.d875391725096.48077484nZbz6p&amp;id=875391725096&amp;from=cart&amp;skuId=5880358639395&amp;mi_id=0000qxeOiZtJMEYyVCEmuq_zT2q2cfK64lZ6Kr_ATpMjd8o&amp;upStreamPrice=3200" TargetMode="External"/><Relationship Id="rId15" Type="http://schemas.openxmlformats.org/officeDocument/2006/relationships/hyperlink" Target="https://item.taobao.com/item.htm?id=601483825433&amp;from=cart&amp;skuId=5351621079821&amp;mi_id=0000m-a1R8lCy_1LqbQPKRSeo5_7CHJ6dOaPdu6tHwHAgj4&amp;upStreamPrice=142" TargetMode="External"/><Relationship Id="rId23" Type="http://schemas.openxmlformats.org/officeDocument/2006/relationships/hyperlink" Target="https://item.taobao.com/item.htm?id=42092422468&amp;mi_id=0000CpP_Iy54_Y0KLypPMtsxV60VanSnHdLQwHO3FyMgr2A" TargetMode="External"/><Relationship Id="rId10" Type="http://schemas.openxmlformats.org/officeDocument/2006/relationships/hyperlink" Target="https://item.taobao.com/item.htm?id=918274679105&amp;from=cart&amp;skuId=5956275279463&amp;mi_id=0000jrjNs_x7ehMxbB2EN6xK3N4XGu436N1T_EoRlwxtVvc&amp;upStreamPrice=1521" TargetMode="External"/><Relationship Id="rId19" Type="http://schemas.openxmlformats.org/officeDocument/2006/relationships/hyperlink" Target="https://item.taobao.com/item.htm?id=829276904010&amp;from=cart&amp;skuId=5739116711092&amp;mi_id=0000L_H75ilJZdX2soYQ9IgQGvVjA5klb0pWIXEAsK27id4&amp;upStreamPrice=706" TargetMode="External"/><Relationship Id="rId4" Type="http://schemas.openxmlformats.org/officeDocument/2006/relationships/hyperlink" Target="https://item.taobao.com/item.htm?id=838880984185&amp;from=cart&amp;skuId=5946761481635&amp;mi_id=0000xEOhY-cFDglTMoTwkjgCEyKP_3-HiRkhcpZFPpJhZtE&amp;upStreamPrice=15930" TargetMode="External"/><Relationship Id="rId9" Type="http://schemas.openxmlformats.org/officeDocument/2006/relationships/hyperlink" Target="https://item.taobao.com/item.htm?id=918274679105&amp;from=cart&amp;skuId=5956275279439&amp;mi_id=0000jrjNs_x7ehMxbB2EN6xK3N4XGu436N1T_EoRlwxtVvc&amp;upStreamPrice=550" TargetMode="External"/><Relationship Id="rId14" Type="http://schemas.openxmlformats.org/officeDocument/2006/relationships/hyperlink" Target="https://item.taobao.com/item.htm?id=715467235763&amp;from=cart&amp;skuId=5175080435883&amp;mi_id=0000q8klQvfadu3xHLzLHSTbcV6GWzsTg39XiEQ3iYRx7to&amp;upStreamPrice=20" TargetMode="External"/><Relationship Id="rId22" Type="http://schemas.openxmlformats.org/officeDocument/2006/relationships/hyperlink" Target="https://item.taobao.com/item.htm?id=732630255887&amp;mi_id=0000485msUVNiM8Lqsf4CXqJFzbIIFg_axgO5HXBagZfbbk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3"/>
  <sheetViews>
    <sheetView tabSelected="1" workbookViewId="0">
      <selection activeCell="Q14" sqref="Q14"/>
    </sheetView>
  </sheetViews>
  <sheetFormatPr defaultRowHeight="14.5" x14ac:dyDescent="0.35"/>
  <cols>
    <col min="1" max="1" width="6.90625" style="4" bestFit="1" customWidth="1"/>
    <col min="2" max="2" width="16.1796875" style="4" bestFit="1" customWidth="1"/>
    <col min="3" max="3" width="16.36328125" style="4" bestFit="1" customWidth="1"/>
    <col min="4" max="4" width="5.90625" style="4" bestFit="1" customWidth="1"/>
    <col min="5" max="5" width="4.90625" style="4" bestFit="1" customWidth="1"/>
    <col min="6" max="6" width="6.90625" style="4" bestFit="1" customWidth="1"/>
    <col min="7" max="8" width="4.90625" style="4" bestFit="1" customWidth="1"/>
    <col min="9" max="9" width="6.90625" style="4" bestFit="1" customWidth="1"/>
    <col min="10" max="10" width="8" style="4" bestFit="1" customWidth="1"/>
    <col min="11" max="11" width="10" style="4" bestFit="1" customWidth="1"/>
    <col min="12" max="16384" width="8.7265625" style="4"/>
  </cols>
  <sheetData>
    <row r="1" spans="1:11" x14ac:dyDescent="0.35">
      <c r="A1" s="4" t="s">
        <v>0</v>
      </c>
      <c r="B1" s="4" t="s">
        <v>14</v>
      </c>
      <c r="C1" s="4" t="s">
        <v>10</v>
      </c>
      <c r="D1" s="4" t="s">
        <v>1</v>
      </c>
      <c r="E1" s="4" t="s">
        <v>4</v>
      </c>
      <c r="F1" s="4" t="s">
        <v>3</v>
      </c>
      <c r="G1" s="4" t="s">
        <v>20</v>
      </c>
      <c r="H1" s="4" t="s">
        <v>2</v>
      </c>
      <c r="I1" s="4" t="s">
        <v>5</v>
      </c>
      <c r="J1" s="4" t="s">
        <v>6</v>
      </c>
      <c r="K1" s="4" t="s">
        <v>7</v>
      </c>
    </row>
    <row r="2" spans="1:11" x14ac:dyDescent="0.35">
      <c r="A2" s="8" t="s">
        <v>8</v>
      </c>
      <c r="B2" s="5" t="s">
        <v>9</v>
      </c>
      <c r="C2" s="4" t="s">
        <v>11</v>
      </c>
      <c r="D2" s="4">
        <v>16.2</v>
      </c>
      <c r="E2" s="4">
        <v>2</v>
      </c>
      <c r="F2" s="4">
        <f>IFERROR(D2/E2,0)</f>
        <v>8.1</v>
      </c>
      <c r="G2" s="4">
        <v>0</v>
      </c>
      <c r="H2" s="4">
        <v>2</v>
      </c>
      <c r="I2" s="4">
        <f>IFERROR(F2*H2,0)+G2</f>
        <v>16.2</v>
      </c>
      <c r="J2" s="8">
        <f>SUM(I2:I4)</f>
        <v>26.299999999999997</v>
      </c>
      <c r="K2" s="4">
        <f>SUM(I:I)</f>
        <v>2688.9828000000007</v>
      </c>
    </row>
    <row r="3" spans="1:11" x14ac:dyDescent="0.35">
      <c r="A3" s="8"/>
      <c r="B3" s="5" t="s">
        <v>9</v>
      </c>
      <c r="C3" s="4" t="s">
        <v>12</v>
      </c>
      <c r="D3" s="4">
        <v>3.3</v>
      </c>
      <c r="E3" s="4">
        <v>2</v>
      </c>
      <c r="F3" s="4">
        <f t="shared" ref="F3:F69" si="0">IFERROR(D3/E3,0)</f>
        <v>1.65</v>
      </c>
      <c r="G3" s="4">
        <v>0</v>
      </c>
      <c r="H3" s="4">
        <v>4</v>
      </c>
      <c r="I3" s="4">
        <f t="shared" ref="I3:I69" si="1">IFERROR(F3*H3,0)+G3</f>
        <v>6.6</v>
      </c>
      <c r="J3" s="8"/>
    </row>
    <row r="4" spans="1:11" x14ac:dyDescent="0.35">
      <c r="A4" s="8"/>
      <c r="B4" s="5" t="s">
        <v>9</v>
      </c>
      <c r="C4" s="4" t="s">
        <v>13</v>
      </c>
      <c r="D4" s="4">
        <v>3.5</v>
      </c>
      <c r="E4" s="4">
        <v>2</v>
      </c>
      <c r="F4" s="4">
        <f t="shared" si="0"/>
        <v>1.75</v>
      </c>
      <c r="G4" s="4">
        <v>0</v>
      </c>
      <c r="H4" s="4">
        <v>2</v>
      </c>
      <c r="I4" s="4">
        <f t="shared" si="1"/>
        <v>3.5</v>
      </c>
      <c r="J4" s="8"/>
    </row>
    <row r="5" spans="1:11" x14ac:dyDescent="0.35">
      <c r="A5" s="8" t="s">
        <v>16</v>
      </c>
      <c r="B5" s="5" t="s">
        <v>15</v>
      </c>
      <c r="C5" s="6" t="s">
        <v>17</v>
      </c>
      <c r="D5" s="4">
        <v>159.30000000000001</v>
      </c>
      <c r="E5" s="4">
        <v>1</v>
      </c>
      <c r="F5" s="4">
        <f t="shared" si="0"/>
        <v>159.30000000000001</v>
      </c>
      <c r="G5" s="4">
        <v>0</v>
      </c>
      <c r="H5" s="4">
        <v>1</v>
      </c>
      <c r="I5" s="4">
        <f t="shared" si="1"/>
        <v>159.30000000000001</v>
      </c>
      <c r="J5" s="8">
        <f>SUM(I5:I6)</f>
        <v>191.3</v>
      </c>
    </row>
    <row r="6" spans="1:11" x14ac:dyDescent="0.35">
      <c r="A6" s="8"/>
      <c r="B6" s="5" t="s">
        <v>18</v>
      </c>
      <c r="C6" s="4" t="s">
        <v>19</v>
      </c>
      <c r="D6" s="4">
        <v>32</v>
      </c>
      <c r="E6" s="4">
        <v>1</v>
      </c>
      <c r="F6" s="4">
        <f t="shared" si="0"/>
        <v>32</v>
      </c>
      <c r="G6" s="4">
        <v>0</v>
      </c>
      <c r="H6" s="4">
        <v>1</v>
      </c>
      <c r="I6" s="4">
        <f t="shared" si="1"/>
        <v>32</v>
      </c>
      <c r="J6" s="8"/>
    </row>
    <row r="7" spans="1:11" x14ac:dyDescent="0.35">
      <c r="A7" s="8" t="s">
        <v>22</v>
      </c>
      <c r="B7" s="7" t="s">
        <v>21</v>
      </c>
      <c r="C7" s="4" t="s">
        <v>23</v>
      </c>
      <c r="D7" s="4">
        <v>60</v>
      </c>
      <c r="E7" s="4">
        <v>1</v>
      </c>
      <c r="F7" s="4">
        <f t="shared" si="0"/>
        <v>60</v>
      </c>
      <c r="G7" s="4">
        <v>0</v>
      </c>
      <c r="H7" s="4">
        <v>2</v>
      </c>
      <c r="I7" s="4">
        <f t="shared" si="1"/>
        <v>120</v>
      </c>
      <c r="J7" s="8">
        <f>SUM(I7:I9)</f>
        <v>1239</v>
      </c>
    </row>
    <row r="8" spans="1:11" x14ac:dyDescent="0.35">
      <c r="A8" s="8"/>
      <c r="B8" s="5" t="s">
        <v>30</v>
      </c>
      <c r="C8" s="4" t="s">
        <v>62</v>
      </c>
      <c r="D8" s="4">
        <v>20</v>
      </c>
      <c r="E8" s="4">
        <v>1</v>
      </c>
      <c r="F8" s="4">
        <f t="shared" si="0"/>
        <v>20</v>
      </c>
      <c r="G8" s="4">
        <v>0</v>
      </c>
      <c r="H8" s="4">
        <v>1</v>
      </c>
      <c r="I8" s="4">
        <f t="shared" si="1"/>
        <v>20</v>
      </c>
      <c r="J8" s="8"/>
    </row>
    <row r="9" spans="1:11" x14ac:dyDescent="0.35">
      <c r="A9" s="8"/>
      <c r="B9" s="5" t="s">
        <v>36</v>
      </c>
      <c r="C9" s="4" t="s">
        <v>60</v>
      </c>
      <c r="D9" s="4">
        <f>879+220</f>
        <v>1099</v>
      </c>
      <c r="E9" s="4">
        <v>1</v>
      </c>
      <c r="F9" s="4">
        <f>IFERROR(D9/E9,0)</f>
        <v>1099</v>
      </c>
      <c r="G9" s="4">
        <v>0</v>
      </c>
      <c r="H9" s="4">
        <v>1</v>
      </c>
      <c r="I9" s="4">
        <f>IFERROR(F9*H9,0)+G9</f>
        <v>1099</v>
      </c>
      <c r="J9" s="8"/>
    </row>
    <row r="10" spans="1:11" x14ac:dyDescent="0.35">
      <c r="B10" s="3" t="s">
        <v>55</v>
      </c>
      <c r="C10" s="4" t="s">
        <v>23</v>
      </c>
      <c r="D10" s="4">
        <v>30</v>
      </c>
      <c r="E10" s="4">
        <v>1</v>
      </c>
      <c r="F10" s="4">
        <f>IFERROR(D10/E10,0)</f>
        <v>30</v>
      </c>
      <c r="G10" s="4">
        <v>0</v>
      </c>
      <c r="H10" s="4">
        <v>4</v>
      </c>
      <c r="I10" s="4">
        <f>IFERROR(F10*H10,0)+G10</f>
        <v>120</v>
      </c>
    </row>
    <row r="11" spans="1:11" x14ac:dyDescent="0.35">
      <c r="B11" s="5" t="s">
        <v>42</v>
      </c>
      <c r="C11" s="4" t="s">
        <v>43</v>
      </c>
      <c r="D11" s="4">
        <v>8.8000000000000007</v>
      </c>
      <c r="E11" s="4">
        <v>1</v>
      </c>
      <c r="F11" s="4">
        <f>IFERROR(D11/E11,0)</f>
        <v>8.8000000000000007</v>
      </c>
      <c r="G11" s="4">
        <v>6</v>
      </c>
      <c r="H11" s="4">
        <v>4</v>
      </c>
      <c r="I11" s="4">
        <f>IFERROR(F11*H11,0)+G11</f>
        <v>41.2</v>
      </c>
    </row>
    <row r="12" spans="1:11" x14ac:dyDescent="0.35">
      <c r="B12" s="5" t="s">
        <v>24</v>
      </c>
      <c r="C12" s="4" t="s">
        <v>25</v>
      </c>
      <c r="D12" s="4">
        <v>220</v>
      </c>
      <c r="E12" s="4">
        <v>1</v>
      </c>
      <c r="F12" s="4">
        <f t="shared" si="0"/>
        <v>220</v>
      </c>
      <c r="G12" s="4">
        <v>12</v>
      </c>
      <c r="H12" s="4">
        <v>4</v>
      </c>
      <c r="I12" s="4">
        <f t="shared" si="1"/>
        <v>892</v>
      </c>
    </row>
    <row r="13" spans="1:11" x14ac:dyDescent="0.35">
      <c r="A13" s="8" t="s">
        <v>37</v>
      </c>
      <c r="B13" s="5" t="s">
        <v>26</v>
      </c>
      <c r="C13" s="4" t="s">
        <v>27</v>
      </c>
      <c r="D13" s="4">
        <v>11.25</v>
      </c>
      <c r="E13" s="4">
        <v>20</v>
      </c>
      <c r="F13" s="4">
        <f t="shared" si="0"/>
        <v>0.5625</v>
      </c>
      <c r="G13" s="4">
        <v>0</v>
      </c>
      <c r="H13" s="4">
        <v>16</v>
      </c>
      <c r="I13" s="4">
        <f t="shared" si="1"/>
        <v>9</v>
      </c>
      <c r="J13" s="8">
        <f>SUM(I13:I15)</f>
        <v>66.472000000000008</v>
      </c>
    </row>
    <row r="14" spans="1:11" x14ac:dyDescent="0.35">
      <c r="A14" s="8"/>
      <c r="B14" s="7" t="s">
        <v>26</v>
      </c>
      <c r="C14" s="4" t="s">
        <v>28</v>
      </c>
      <c r="D14" s="4">
        <v>5.5</v>
      </c>
      <c r="E14" s="4">
        <v>20</v>
      </c>
      <c r="F14" s="4">
        <f t="shared" si="0"/>
        <v>0.27500000000000002</v>
      </c>
      <c r="G14" s="4">
        <v>0</v>
      </c>
      <c r="H14" s="4">
        <v>32</v>
      </c>
      <c r="I14" s="4">
        <f t="shared" si="1"/>
        <v>8.8000000000000007</v>
      </c>
      <c r="J14" s="8"/>
    </row>
    <row r="15" spans="1:11" x14ac:dyDescent="0.35">
      <c r="A15" s="8"/>
      <c r="B15" s="7" t="s">
        <v>26</v>
      </c>
      <c r="C15" s="4" t="s">
        <v>29</v>
      </c>
      <c r="D15" s="4">
        <v>15.21</v>
      </c>
      <c r="E15" s="4">
        <v>10</v>
      </c>
      <c r="F15" s="4">
        <f t="shared" si="0"/>
        <v>1.5210000000000001</v>
      </c>
      <c r="G15" s="4">
        <v>0</v>
      </c>
      <c r="H15" s="4">
        <v>32</v>
      </c>
      <c r="I15" s="4">
        <f t="shared" si="1"/>
        <v>48.672000000000004</v>
      </c>
      <c r="J15" s="8"/>
    </row>
    <row r="16" spans="1:11" x14ac:dyDescent="0.35">
      <c r="A16" s="8" t="s">
        <v>33</v>
      </c>
      <c r="B16" s="5" t="s">
        <v>31</v>
      </c>
      <c r="C16" s="4" t="s">
        <v>32</v>
      </c>
      <c r="D16" s="4">
        <v>3.7</v>
      </c>
      <c r="E16" s="4">
        <v>1</v>
      </c>
      <c r="F16" s="4">
        <f t="shared" si="0"/>
        <v>3.7</v>
      </c>
      <c r="G16" s="4">
        <v>0</v>
      </c>
      <c r="H16" s="4">
        <v>4</v>
      </c>
      <c r="I16" s="4">
        <f t="shared" si="1"/>
        <v>14.8</v>
      </c>
    </row>
    <row r="17" spans="1:10" x14ac:dyDescent="0.35">
      <c r="A17" s="8"/>
      <c r="B17" s="5" t="s">
        <v>34</v>
      </c>
      <c r="C17" s="4" t="s">
        <v>35</v>
      </c>
      <c r="D17" s="4">
        <v>2.7</v>
      </c>
      <c r="E17" s="4">
        <v>1</v>
      </c>
      <c r="F17" s="4">
        <f t="shared" si="0"/>
        <v>2.7</v>
      </c>
      <c r="G17" s="4">
        <v>0</v>
      </c>
      <c r="H17" s="4">
        <v>4</v>
      </c>
      <c r="I17" s="4">
        <f t="shared" si="1"/>
        <v>10.8</v>
      </c>
    </row>
    <row r="18" spans="1:10" x14ac:dyDescent="0.35">
      <c r="A18" s="4" t="s">
        <v>54</v>
      </c>
      <c r="B18" s="5" t="s">
        <v>38</v>
      </c>
      <c r="C18" s="4" t="s">
        <v>39</v>
      </c>
      <c r="D18" s="4">
        <v>5.2</v>
      </c>
      <c r="E18" s="4">
        <v>1</v>
      </c>
      <c r="F18" s="4">
        <f t="shared" si="0"/>
        <v>5.2</v>
      </c>
      <c r="G18" s="4">
        <v>0</v>
      </c>
      <c r="H18" s="4">
        <v>7</v>
      </c>
      <c r="I18" s="4">
        <f t="shared" si="1"/>
        <v>36.4</v>
      </c>
    </row>
    <row r="19" spans="1:10" x14ac:dyDescent="0.35">
      <c r="A19" s="8" t="s">
        <v>53</v>
      </c>
      <c r="B19" s="5" t="s">
        <v>40</v>
      </c>
      <c r="C19" s="4" t="s">
        <v>41</v>
      </c>
      <c r="D19" s="4">
        <v>2.75</v>
      </c>
      <c r="E19" s="4">
        <v>5</v>
      </c>
      <c r="F19" s="4">
        <f t="shared" si="0"/>
        <v>0.55000000000000004</v>
      </c>
      <c r="G19" s="4">
        <v>0</v>
      </c>
      <c r="H19" s="4">
        <v>4</v>
      </c>
      <c r="I19" s="4">
        <f t="shared" si="1"/>
        <v>2.2000000000000002</v>
      </c>
      <c r="J19" s="8">
        <f>SUM(I19:I27)</f>
        <v>28.710800000000003</v>
      </c>
    </row>
    <row r="20" spans="1:10" x14ac:dyDescent="0.35">
      <c r="A20" s="8"/>
      <c r="B20" s="5" t="s">
        <v>44</v>
      </c>
      <c r="C20" s="4" t="s">
        <v>45</v>
      </c>
      <c r="D20" s="4">
        <v>12.8</v>
      </c>
      <c r="E20" s="4">
        <v>80</v>
      </c>
      <c r="F20" s="4">
        <f>IFERROR(D20/E20,0)</f>
        <v>0.16</v>
      </c>
      <c r="G20" s="4">
        <v>0</v>
      </c>
      <c r="H20" s="4">
        <v>116</v>
      </c>
      <c r="I20" s="4">
        <f>IFERROR(F20*H20,0)+G20</f>
        <v>18.559999999999999</v>
      </c>
      <c r="J20" s="8"/>
    </row>
    <row r="21" spans="1:10" x14ac:dyDescent="0.35">
      <c r="A21" s="8"/>
      <c r="B21" s="5" t="s">
        <v>49</v>
      </c>
      <c r="C21" s="4" t="s">
        <v>48</v>
      </c>
      <c r="D21" s="4">
        <v>2.77</v>
      </c>
      <c r="E21" s="4">
        <v>20</v>
      </c>
      <c r="F21" s="4">
        <f t="shared" si="0"/>
        <v>0.13850000000000001</v>
      </c>
      <c r="G21" s="4">
        <v>0</v>
      </c>
      <c r="H21" s="4">
        <v>4</v>
      </c>
      <c r="I21" s="4">
        <f t="shared" si="1"/>
        <v>0.55400000000000005</v>
      </c>
      <c r="J21" s="8"/>
    </row>
    <row r="22" spans="1:10" x14ac:dyDescent="0.35">
      <c r="A22" s="8"/>
      <c r="B22" s="5" t="s">
        <v>49</v>
      </c>
      <c r="C22" s="4" t="s">
        <v>47</v>
      </c>
      <c r="D22" s="4">
        <v>3.79</v>
      </c>
      <c r="E22" s="4">
        <v>100</v>
      </c>
      <c r="F22" s="4">
        <f t="shared" si="0"/>
        <v>3.7900000000000003E-2</v>
      </c>
      <c r="G22" s="4">
        <v>0</v>
      </c>
      <c r="H22" s="4">
        <v>84</v>
      </c>
      <c r="I22" s="4">
        <f t="shared" si="1"/>
        <v>3.1836000000000002</v>
      </c>
      <c r="J22" s="8"/>
    </row>
    <row r="23" spans="1:10" x14ac:dyDescent="0.35">
      <c r="A23" s="8"/>
      <c r="B23" s="5" t="s">
        <v>49</v>
      </c>
      <c r="C23" s="4" t="s">
        <v>46</v>
      </c>
      <c r="D23" s="4">
        <v>3.79</v>
      </c>
      <c r="E23" s="4">
        <v>100</v>
      </c>
      <c r="F23" s="4">
        <f t="shared" si="0"/>
        <v>3.7900000000000003E-2</v>
      </c>
      <c r="G23" s="4">
        <v>0</v>
      </c>
      <c r="H23" s="4">
        <v>60</v>
      </c>
      <c r="I23" s="4">
        <f t="shared" si="1"/>
        <v>2.274</v>
      </c>
      <c r="J23" s="8"/>
    </row>
    <row r="24" spans="1:10" x14ac:dyDescent="0.35">
      <c r="A24" s="8"/>
      <c r="B24" s="5" t="s">
        <v>49</v>
      </c>
      <c r="C24" s="4" t="s">
        <v>51</v>
      </c>
      <c r="D24" s="4">
        <v>2.62</v>
      </c>
      <c r="E24" s="4">
        <v>50</v>
      </c>
      <c r="F24" s="4">
        <f t="shared" si="0"/>
        <v>5.2400000000000002E-2</v>
      </c>
      <c r="G24" s="4">
        <v>0</v>
      </c>
      <c r="H24" s="4">
        <v>4</v>
      </c>
      <c r="I24" s="4">
        <f t="shared" si="1"/>
        <v>0.20960000000000001</v>
      </c>
      <c r="J24" s="8"/>
    </row>
    <row r="25" spans="1:10" x14ac:dyDescent="0.35">
      <c r="A25" s="8"/>
      <c r="B25" s="5" t="s">
        <v>49</v>
      </c>
      <c r="C25" s="4" t="s">
        <v>50</v>
      </c>
      <c r="D25" s="4">
        <v>3.2</v>
      </c>
      <c r="E25" s="4">
        <v>100</v>
      </c>
      <c r="F25" s="4">
        <f t="shared" si="0"/>
        <v>3.2000000000000001E-2</v>
      </c>
      <c r="G25" s="4">
        <v>0</v>
      </c>
      <c r="H25" s="4">
        <v>24</v>
      </c>
      <c r="I25" s="4">
        <f t="shared" si="1"/>
        <v>0.76800000000000002</v>
      </c>
      <c r="J25" s="8"/>
    </row>
    <row r="26" spans="1:10" x14ac:dyDescent="0.35">
      <c r="A26" s="8"/>
      <c r="B26" s="5"/>
      <c r="C26" s="4" t="s">
        <v>61</v>
      </c>
      <c r="D26" s="4">
        <v>2.13</v>
      </c>
      <c r="E26" s="4">
        <v>100</v>
      </c>
      <c r="F26" s="4">
        <f t="shared" si="0"/>
        <v>2.1299999999999999E-2</v>
      </c>
      <c r="G26" s="4">
        <v>0</v>
      </c>
      <c r="H26" s="4">
        <v>16</v>
      </c>
      <c r="I26" s="4">
        <f t="shared" si="1"/>
        <v>0.34079999999999999</v>
      </c>
      <c r="J26" s="8"/>
    </row>
    <row r="27" spans="1:10" x14ac:dyDescent="0.35">
      <c r="A27" s="8"/>
      <c r="B27" s="5" t="s">
        <v>52</v>
      </c>
      <c r="C27" s="4" t="s">
        <v>51</v>
      </c>
      <c r="D27" s="4">
        <v>3.88</v>
      </c>
      <c r="E27" s="4">
        <v>100</v>
      </c>
      <c r="F27" s="4">
        <f t="shared" si="0"/>
        <v>3.8800000000000001E-2</v>
      </c>
      <c r="G27" s="4">
        <v>0</v>
      </c>
      <c r="H27" s="4">
        <v>16</v>
      </c>
      <c r="I27" s="4">
        <f t="shared" si="1"/>
        <v>0.62080000000000002</v>
      </c>
      <c r="J27" s="8"/>
    </row>
    <row r="28" spans="1:10" x14ac:dyDescent="0.35">
      <c r="B28" s="2" t="s">
        <v>56</v>
      </c>
      <c r="C28" s="4" t="s">
        <v>57</v>
      </c>
      <c r="D28" s="4">
        <v>6</v>
      </c>
      <c r="E28" s="4">
        <v>1</v>
      </c>
      <c r="F28" s="4">
        <f t="shared" si="0"/>
        <v>6</v>
      </c>
      <c r="G28" s="4">
        <v>0</v>
      </c>
      <c r="H28" s="4">
        <v>2</v>
      </c>
      <c r="I28" s="4">
        <f t="shared" si="1"/>
        <v>12</v>
      </c>
    </row>
    <row r="29" spans="1:10" x14ac:dyDescent="0.35">
      <c r="B29" s="1" t="s">
        <v>58</v>
      </c>
      <c r="C29" s="4" t="s">
        <v>59</v>
      </c>
      <c r="D29" s="4">
        <v>5</v>
      </c>
      <c r="E29" s="4">
        <v>1</v>
      </c>
      <c r="F29" s="4">
        <f t="shared" si="0"/>
        <v>5</v>
      </c>
      <c r="G29" s="4">
        <v>0</v>
      </c>
      <c r="H29" s="4">
        <v>2</v>
      </c>
      <c r="I29" s="4">
        <f t="shared" si="1"/>
        <v>10</v>
      </c>
    </row>
    <row r="30" spans="1:10" x14ac:dyDescent="0.35">
      <c r="F30" s="4">
        <f t="shared" si="0"/>
        <v>0</v>
      </c>
      <c r="I30" s="4">
        <f t="shared" si="1"/>
        <v>0</v>
      </c>
    </row>
    <row r="31" spans="1:10" x14ac:dyDescent="0.35">
      <c r="F31" s="4">
        <f t="shared" si="0"/>
        <v>0</v>
      </c>
      <c r="I31" s="4">
        <f t="shared" si="1"/>
        <v>0</v>
      </c>
    </row>
    <row r="32" spans="1:10" x14ac:dyDescent="0.35">
      <c r="F32" s="4">
        <f t="shared" si="0"/>
        <v>0</v>
      </c>
      <c r="I32" s="4">
        <f t="shared" si="1"/>
        <v>0</v>
      </c>
    </row>
    <row r="33" spans="6:9" x14ac:dyDescent="0.35">
      <c r="F33" s="4">
        <f t="shared" si="0"/>
        <v>0</v>
      </c>
      <c r="I33" s="4">
        <f t="shared" si="1"/>
        <v>0</v>
      </c>
    </row>
    <row r="34" spans="6:9" x14ac:dyDescent="0.35">
      <c r="F34" s="4">
        <f t="shared" si="0"/>
        <v>0</v>
      </c>
      <c r="I34" s="4">
        <f t="shared" si="1"/>
        <v>0</v>
      </c>
    </row>
    <row r="35" spans="6:9" x14ac:dyDescent="0.35">
      <c r="F35" s="4">
        <f t="shared" si="0"/>
        <v>0</v>
      </c>
      <c r="I35" s="4">
        <f t="shared" si="1"/>
        <v>0</v>
      </c>
    </row>
    <row r="36" spans="6:9" x14ac:dyDescent="0.35">
      <c r="F36" s="4">
        <f t="shared" si="0"/>
        <v>0</v>
      </c>
      <c r="I36" s="4">
        <f t="shared" si="1"/>
        <v>0</v>
      </c>
    </row>
    <row r="37" spans="6:9" x14ac:dyDescent="0.35">
      <c r="F37" s="4">
        <f t="shared" si="0"/>
        <v>0</v>
      </c>
      <c r="I37" s="4">
        <f t="shared" si="1"/>
        <v>0</v>
      </c>
    </row>
    <row r="38" spans="6:9" x14ac:dyDescent="0.35">
      <c r="F38" s="4">
        <f t="shared" si="0"/>
        <v>0</v>
      </c>
      <c r="I38" s="4">
        <f t="shared" si="1"/>
        <v>0</v>
      </c>
    </row>
    <row r="39" spans="6:9" x14ac:dyDescent="0.35">
      <c r="F39" s="4">
        <f t="shared" si="0"/>
        <v>0</v>
      </c>
      <c r="I39" s="4">
        <f t="shared" si="1"/>
        <v>0</v>
      </c>
    </row>
    <row r="40" spans="6:9" x14ac:dyDescent="0.35">
      <c r="F40" s="4">
        <f t="shared" si="0"/>
        <v>0</v>
      </c>
      <c r="I40" s="4">
        <f t="shared" si="1"/>
        <v>0</v>
      </c>
    </row>
    <row r="41" spans="6:9" x14ac:dyDescent="0.35">
      <c r="F41" s="4">
        <f t="shared" si="0"/>
        <v>0</v>
      </c>
      <c r="I41" s="4">
        <f t="shared" si="1"/>
        <v>0</v>
      </c>
    </row>
    <row r="42" spans="6:9" x14ac:dyDescent="0.35">
      <c r="F42" s="4">
        <f t="shared" si="0"/>
        <v>0</v>
      </c>
      <c r="I42" s="4">
        <f t="shared" si="1"/>
        <v>0</v>
      </c>
    </row>
    <row r="43" spans="6:9" x14ac:dyDescent="0.35">
      <c r="F43" s="4">
        <f t="shared" si="0"/>
        <v>0</v>
      </c>
      <c r="I43" s="4">
        <f t="shared" si="1"/>
        <v>0</v>
      </c>
    </row>
    <row r="44" spans="6:9" x14ac:dyDescent="0.35">
      <c r="F44" s="4">
        <f t="shared" si="0"/>
        <v>0</v>
      </c>
      <c r="I44" s="4">
        <f t="shared" si="1"/>
        <v>0</v>
      </c>
    </row>
    <row r="45" spans="6:9" x14ac:dyDescent="0.35">
      <c r="F45" s="4">
        <f t="shared" si="0"/>
        <v>0</v>
      </c>
      <c r="I45" s="4">
        <f t="shared" si="1"/>
        <v>0</v>
      </c>
    </row>
    <row r="46" spans="6:9" x14ac:dyDescent="0.35">
      <c r="F46" s="4">
        <f t="shared" si="0"/>
        <v>0</v>
      </c>
      <c r="I46" s="4">
        <f t="shared" si="1"/>
        <v>0</v>
      </c>
    </row>
    <row r="47" spans="6:9" x14ac:dyDescent="0.35">
      <c r="F47" s="4">
        <f t="shared" si="0"/>
        <v>0</v>
      </c>
      <c r="I47" s="4">
        <f t="shared" si="1"/>
        <v>0</v>
      </c>
    </row>
    <row r="48" spans="6:9" x14ac:dyDescent="0.35">
      <c r="F48" s="4">
        <f t="shared" si="0"/>
        <v>0</v>
      </c>
      <c r="I48" s="4">
        <f t="shared" si="1"/>
        <v>0</v>
      </c>
    </row>
    <row r="49" spans="6:9" x14ac:dyDescent="0.35">
      <c r="F49" s="4">
        <f t="shared" si="0"/>
        <v>0</v>
      </c>
      <c r="I49" s="4">
        <f t="shared" si="1"/>
        <v>0</v>
      </c>
    </row>
    <row r="50" spans="6:9" x14ac:dyDescent="0.35">
      <c r="F50" s="4">
        <f t="shared" si="0"/>
        <v>0</v>
      </c>
      <c r="I50" s="4">
        <f t="shared" si="1"/>
        <v>0</v>
      </c>
    </row>
    <row r="51" spans="6:9" x14ac:dyDescent="0.35">
      <c r="F51" s="4">
        <f t="shared" si="0"/>
        <v>0</v>
      </c>
      <c r="I51" s="4">
        <f t="shared" si="1"/>
        <v>0</v>
      </c>
    </row>
    <row r="52" spans="6:9" x14ac:dyDescent="0.35">
      <c r="F52" s="4">
        <f t="shared" si="0"/>
        <v>0</v>
      </c>
      <c r="I52" s="4">
        <f t="shared" si="1"/>
        <v>0</v>
      </c>
    </row>
    <row r="53" spans="6:9" x14ac:dyDescent="0.35">
      <c r="F53" s="4">
        <f t="shared" si="0"/>
        <v>0</v>
      </c>
      <c r="I53" s="4">
        <f t="shared" si="1"/>
        <v>0</v>
      </c>
    </row>
    <row r="54" spans="6:9" x14ac:dyDescent="0.35">
      <c r="F54" s="4">
        <f t="shared" si="0"/>
        <v>0</v>
      </c>
      <c r="I54" s="4">
        <f t="shared" si="1"/>
        <v>0</v>
      </c>
    </row>
    <row r="55" spans="6:9" x14ac:dyDescent="0.35">
      <c r="F55" s="4">
        <f t="shared" si="0"/>
        <v>0</v>
      </c>
      <c r="I55" s="4">
        <f t="shared" si="1"/>
        <v>0</v>
      </c>
    </row>
    <row r="56" spans="6:9" x14ac:dyDescent="0.35">
      <c r="F56" s="4">
        <f t="shared" si="0"/>
        <v>0</v>
      </c>
      <c r="I56" s="4">
        <f t="shared" si="1"/>
        <v>0</v>
      </c>
    </row>
    <row r="57" spans="6:9" x14ac:dyDescent="0.35">
      <c r="F57" s="4">
        <f t="shared" si="0"/>
        <v>0</v>
      </c>
      <c r="I57" s="4">
        <f t="shared" si="1"/>
        <v>0</v>
      </c>
    </row>
    <row r="58" spans="6:9" x14ac:dyDescent="0.35">
      <c r="F58" s="4">
        <f t="shared" si="0"/>
        <v>0</v>
      </c>
      <c r="I58" s="4">
        <f t="shared" si="1"/>
        <v>0</v>
      </c>
    </row>
    <row r="59" spans="6:9" x14ac:dyDescent="0.35">
      <c r="F59" s="4">
        <f t="shared" si="0"/>
        <v>0</v>
      </c>
      <c r="I59" s="4">
        <f t="shared" si="1"/>
        <v>0</v>
      </c>
    </row>
    <row r="60" spans="6:9" x14ac:dyDescent="0.35">
      <c r="F60" s="4">
        <f t="shared" si="0"/>
        <v>0</v>
      </c>
      <c r="I60" s="4">
        <f t="shared" si="1"/>
        <v>0</v>
      </c>
    </row>
    <row r="61" spans="6:9" x14ac:dyDescent="0.35">
      <c r="F61" s="4">
        <f t="shared" si="0"/>
        <v>0</v>
      </c>
      <c r="I61" s="4">
        <f t="shared" si="1"/>
        <v>0</v>
      </c>
    </row>
    <row r="62" spans="6:9" x14ac:dyDescent="0.35">
      <c r="F62" s="4">
        <f t="shared" si="0"/>
        <v>0</v>
      </c>
      <c r="I62" s="4">
        <f t="shared" si="1"/>
        <v>0</v>
      </c>
    </row>
    <row r="63" spans="6:9" x14ac:dyDescent="0.35">
      <c r="F63" s="4">
        <f t="shared" si="0"/>
        <v>0</v>
      </c>
      <c r="I63" s="4">
        <f t="shared" si="1"/>
        <v>0</v>
      </c>
    </row>
    <row r="64" spans="6:9" x14ac:dyDescent="0.35">
      <c r="F64" s="4">
        <f t="shared" si="0"/>
        <v>0</v>
      </c>
      <c r="I64" s="4">
        <f t="shared" si="1"/>
        <v>0</v>
      </c>
    </row>
    <row r="65" spans="6:9" x14ac:dyDescent="0.35">
      <c r="F65" s="4">
        <f t="shared" si="0"/>
        <v>0</v>
      </c>
      <c r="I65" s="4">
        <f t="shared" si="1"/>
        <v>0</v>
      </c>
    </row>
    <row r="66" spans="6:9" x14ac:dyDescent="0.35">
      <c r="F66" s="4">
        <f t="shared" si="0"/>
        <v>0</v>
      </c>
      <c r="I66" s="4">
        <f t="shared" si="1"/>
        <v>0</v>
      </c>
    </row>
    <row r="67" spans="6:9" x14ac:dyDescent="0.35">
      <c r="F67" s="4">
        <f t="shared" si="0"/>
        <v>0</v>
      </c>
      <c r="I67" s="4">
        <f t="shared" si="1"/>
        <v>0</v>
      </c>
    </row>
    <row r="68" spans="6:9" x14ac:dyDescent="0.35">
      <c r="F68" s="4">
        <f t="shared" si="0"/>
        <v>0</v>
      </c>
      <c r="I68" s="4">
        <f t="shared" si="1"/>
        <v>0</v>
      </c>
    </row>
    <row r="69" spans="6:9" x14ac:dyDescent="0.35">
      <c r="F69" s="4">
        <f t="shared" si="0"/>
        <v>0</v>
      </c>
      <c r="I69" s="4">
        <f t="shared" si="1"/>
        <v>0</v>
      </c>
    </row>
    <row r="70" spans="6:9" x14ac:dyDescent="0.35">
      <c r="F70" s="4">
        <f t="shared" ref="F70:F133" si="2">IFERROR(D70/E70,0)</f>
        <v>0</v>
      </c>
      <c r="I70" s="4">
        <f t="shared" ref="I70:I133" si="3">IFERROR(F70*H70,0)+G70</f>
        <v>0</v>
      </c>
    </row>
    <row r="71" spans="6:9" x14ac:dyDescent="0.35">
      <c r="F71" s="4">
        <f t="shared" si="2"/>
        <v>0</v>
      </c>
      <c r="I71" s="4">
        <f t="shared" si="3"/>
        <v>0</v>
      </c>
    </row>
    <row r="72" spans="6:9" x14ac:dyDescent="0.35">
      <c r="F72" s="4">
        <f t="shared" si="2"/>
        <v>0</v>
      </c>
      <c r="I72" s="4">
        <f t="shared" si="3"/>
        <v>0</v>
      </c>
    </row>
    <row r="73" spans="6:9" x14ac:dyDescent="0.35">
      <c r="F73" s="4">
        <f t="shared" si="2"/>
        <v>0</v>
      </c>
      <c r="I73" s="4">
        <f t="shared" si="3"/>
        <v>0</v>
      </c>
    </row>
    <row r="74" spans="6:9" x14ac:dyDescent="0.35">
      <c r="F74" s="4">
        <f t="shared" si="2"/>
        <v>0</v>
      </c>
      <c r="I74" s="4">
        <f t="shared" si="3"/>
        <v>0</v>
      </c>
    </row>
    <row r="75" spans="6:9" x14ac:dyDescent="0.35">
      <c r="F75" s="4">
        <f t="shared" si="2"/>
        <v>0</v>
      </c>
      <c r="I75" s="4">
        <f t="shared" si="3"/>
        <v>0</v>
      </c>
    </row>
    <row r="76" spans="6:9" x14ac:dyDescent="0.35">
      <c r="F76" s="4">
        <f t="shared" si="2"/>
        <v>0</v>
      </c>
      <c r="I76" s="4">
        <f t="shared" si="3"/>
        <v>0</v>
      </c>
    </row>
    <row r="77" spans="6:9" x14ac:dyDescent="0.35">
      <c r="F77" s="4">
        <f t="shared" si="2"/>
        <v>0</v>
      </c>
      <c r="I77" s="4">
        <f t="shared" si="3"/>
        <v>0</v>
      </c>
    </row>
    <row r="78" spans="6:9" x14ac:dyDescent="0.35">
      <c r="F78" s="4">
        <f t="shared" si="2"/>
        <v>0</v>
      </c>
      <c r="I78" s="4">
        <f t="shared" si="3"/>
        <v>0</v>
      </c>
    </row>
    <row r="79" spans="6:9" x14ac:dyDescent="0.35">
      <c r="F79" s="4">
        <f t="shared" si="2"/>
        <v>0</v>
      </c>
      <c r="I79" s="4">
        <f t="shared" si="3"/>
        <v>0</v>
      </c>
    </row>
    <row r="80" spans="6:9" x14ac:dyDescent="0.35">
      <c r="F80" s="4">
        <f t="shared" si="2"/>
        <v>0</v>
      </c>
      <c r="I80" s="4">
        <f t="shared" si="3"/>
        <v>0</v>
      </c>
    </row>
    <row r="81" spans="6:9" x14ac:dyDescent="0.35">
      <c r="F81" s="4">
        <f t="shared" si="2"/>
        <v>0</v>
      </c>
      <c r="I81" s="4">
        <f t="shared" si="3"/>
        <v>0</v>
      </c>
    </row>
    <row r="82" spans="6:9" x14ac:dyDescent="0.35">
      <c r="F82" s="4">
        <f t="shared" si="2"/>
        <v>0</v>
      </c>
      <c r="I82" s="4">
        <f t="shared" si="3"/>
        <v>0</v>
      </c>
    </row>
    <row r="83" spans="6:9" x14ac:dyDescent="0.35">
      <c r="F83" s="4">
        <f t="shared" si="2"/>
        <v>0</v>
      </c>
      <c r="I83" s="4">
        <f t="shared" si="3"/>
        <v>0</v>
      </c>
    </row>
    <row r="84" spans="6:9" x14ac:dyDescent="0.35">
      <c r="F84" s="4">
        <f t="shared" si="2"/>
        <v>0</v>
      </c>
      <c r="I84" s="4">
        <f t="shared" si="3"/>
        <v>0</v>
      </c>
    </row>
    <row r="85" spans="6:9" x14ac:dyDescent="0.35">
      <c r="F85" s="4">
        <f t="shared" si="2"/>
        <v>0</v>
      </c>
      <c r="I85" s="4">
        <f t="shared" si="3"/>
        <v>0</v>
      </c>
    </row>
    <row r="86" spans="6:9" x14ac:dyDescent="0.35">
      <c r="F86" s="4">
        <f t="shared" si="2"/>
        <v>0</v>
      </c>
      <c r="I86" s="4">
        <f t="shared" si="3"/>
        <v>0</v>
      </c>
    </row>
    <row r="87" spans="6:9" x14ac:dyDescent="0.35">
      <c r="F87" s="4">
        <f t="shared" si="2"/>
        <v>0</v>
      </c>
      <c r="I87" s="4">
        <f t="shared" si="3"/>
        <v>0</v>
      </c>
    </row>
    <row r="88" spans="6:9" x14ac:dyDescent="0.35">
      <c r="F88" s="4">
        <f t="shared" si="2"/>
        <v>0</v>
      </c>
      <c r="I88" s="4">
        <f t="shared" si="3"/>
        <v>0</v>
      </c>
    </row>
    <row r="89" spans="6:9" x14ac:dyDescent="0.35">
      <c r="F89" s="4">
        <f t="shared" si="2"/>
        <v>0</v>
      </c>
      <c r="I89" s="4">
        <f t="shared" si="3"/>
        <v>0</v>
      </c>
    </row>
    <row r="90" spans="6:9" x14ac:dyDescent="0.35">
      <c r="F90" s="4">
        <f t="shared" si="2"/>
        <v>0</v>
      </c>
      <c r="I90" s="4">
        <f t="shared" si="3"/>
        <v>0</v>
      </c>
    </row>
    <row r="91" spans="6:9" x14ac:dyDescent="0.35">
      <c r="F91" s="4">
        <f t="shared" si="2"/>
        <v>0</v>
      </c>
      <c r="I91" s="4">
        <f t="shared" si="3"/>
        <v>0</v>
      </c>
    </row>
    <row r="92" spans="6:9" x14ac:dyDescent="0.35">
      <c r="F92" s="4">
        <f t="shared" si="2"/>
        <v>0</v>
      </c>
      <c r="I92" s="4">
        <f t="shared" si="3"/>
        <v>0</v>
      </c>
    </row>
    <row r="93" spans="6:9" x14ac:dyDescent="0.35">
      <c r="F93" s="4">
        <f t="shared" si="2"/>
        <v>0</v>
      </c>
      <c r="I93" s="4">
        <f t="shared" si="3"/>
        <v>0</v>
      </c>
    </row>
    <row r="94" spans="6:9" x14ac:dyDescent="0.35">
      <c r="F94" s="4">
        <f t="shared" si="2"/>
        <v>0</v>
      </c>
      <c r="I94" s="4">
        <f t="shared" si="3"/>
        <v>0</v>
      </c>
    </row>
    <row r="95" spans="6:9" x14ac:dyDescent="0.35">
      <c r="F95" s="4">
        <f t="shared" si="2"/>
        <v>0</v>
      </c>
      <c r="I95" s="4">
        <f t="shared" si="3"/>
        <v>0</v>
      </c>
    </row>
    <row r="96" spans="6:9" x14ac:dyDescent="0.35">
      <c r="F96" s="4">
        <f t="shared" si="2"/>
        <v>0</v>
      </c>
      <c r="I96" s="4">
        <f t="shared" si="3"/>
        <v>0</v>
      </c>
    </row>
    <row r="97" spans="6:9" x14ac:dyDescent="0.35">
      <c r="F97" s="4">
        <f t="shared" si="2"/>
        <v>0</v>
      </c>
      <c r="I97" s="4">
        <f t="shared" si="3"/>
        <v>0</v>
      </c>
    </row>
    <row r="98" spans="6:9" x14ac:dyDescent="0.35">
      <c r="F98" s="4">
        <f t="shared" si="2"/>
        <v>0</v>
      </c>
      <c r="I98" s="4">
        <f t="shared" si="3"/>
        <v>0</v>
      </c>
    </row>
    <row r="99" spans="6:9" x14ac:dyDescent="0.35">
      <c r="F99" s="4">
        <f t="shared" si="2"/>
        <v>0</v>
      </c>
      <c r="I99" s="4">
        <f t="shared" si="3"/>
        <v>0</v>
      </c>
    </row>
    <row r="100" spans="6:9" x14ac:dyDescent="0.35">
      <c r="F100" s="4">
        <f t="shared" si="2"/>
        <v>0</v>
      </c>
      <c r="I100" s="4">
        <f t="shared" si="3"/>
        <v>0</v>
      </c>
    </row>
    <row r="101" spans="6:9" x14ac:dyDescent="0.35">
      <c r="F101" s="4">
        <f t="shared" si="2"/>
        <v>0</v>
      </c>
      <c r="I101" s="4">
        <f t="shared" si="3"/>
        <v>0</v>
      </c>
    </row>
    <row r="102" spans="6:9" x14ac:dyDescent="0.35">
      <c r="F102" s="4">
        <f t="shared" si="2"/>
        <v>0</v>
      </c>
      <c r="I102" s="4">
        <f t="shared" si="3"/>
        <v>0</v>
      </c>
    </row>
    <row r="103" spans="6:9" x14ac:dyDescent="0.35">
      <c r="F103" s="4">
        <f t="shared" si="2"/>
        <v>0</v>
      </c>
      <c r="I103" s="4">
        <f t="shared" si="3"/>
        <v>0</v>
      </c>
    </row>
    <row r="104" spans="6:9" x14ac:dyDescent="0.35">
      <c r="F104" s="4">
        <f t="shared" si="2"/>
        <v>0</v>
      </c>
      <c r="I104" s="4">
        <f t="shared" si="3"/>
        <v>0</v>
      </c>
    </row>
    <row r="105" spans="6:9" x14ac:dyDescent="0.35">
      <c r="F105" s="4">
        <f t="shared" si="2"/>
        <v>0</v>
      </c>
      <c r="I105" s="4">
        <f t="shared" si="3"/>
        <v>0</v>
      </c>
    </row>
    <row r="106" spans="6:9" x14ac:dyDescent="0.35">
      <c r="F106" s="4">
        <f t="shared" si="2"/>
        <v>0</v>
      </c>
      <c r="I106" s="4">
        <f t="shared" si="3"/>
        <v>0</v>
      </c>
    </row>
    <row r="107" spans="6:9" x14ac:dyDescent="0.35">
      <c r="F107" s="4">
        <f t="shared" si="2"/>
        <v>0</v>
      </c>
      <c r="I107" s="4">
        <f t="shared" si="3"/>
        <v>0</v>
      </c>
    </row>
    <row r="108" spans="6:9" x14ac:dyDescent="0.35">
      <c r="F108" s="4">
        <f t="shared" si="2"/>
        <v>0</v>
      </c>
      <c r="I108" s="4">
        <f t="shared" si="3"/>
        <v>0</v>
      </c>
    </row>
    <row r="109" spans="6:9" x14ac:dyDescent="0.35">
      <c r="F109" s="4">
        <f t="shared" si="2"/>
        <v>0</v>
      </c>
      <c r="I109" s="4">
        <f t="shared" si="3"/>
        <v>0</v>
      </c>
    </row>
    <row r="110" spans="6:9" x14ac:dyDescent="0.35">
      <c r="F110" s="4">
        <f t="shared" si="2"/>
        <v>0</v>
      </c>
      <c r="I110" s="4">
        <f t="shared" si="3"/>
        <v>0</v>
      </c>
    </row>
    <row r="111" spans="6:9" x14ac:dyDescent="0.35">
      <c r="F111" s="4">
        <f t="shared" si="2"/>
        <v>0</v>
      </c>
      <c r="I111" s="4">
        <f t="shared" si="3"/>
        <v>0</v>
      </c>
    </row>
    <row r="112" spans="6:9" x14ac:dyDescent="0.35">
      <c r="F112" s="4">
        <f t="shared" si="2"/>
        <v>0</v>
      </c>
      <c r="I112" s="4">
        <f t="shared" si="3"/>
        <v>0</v>
      </c>
    </row>
    <row r="113" spans="6:9" x14ac:dyDescent="0.35">
      <c r="F113" s="4">
        <f t="shared" si="2"/>
        <v>0</v>
      </c>
      <c r="I113" s="4">
        <f t="shared" si="3"/>
        <v>0</v>
      </c>
    </row>
    <row r="114" spans="6:9" x14ac:dyDescent="0.35">
      <c r="F114" s="4">
        <f t="shared" si="2"/>
        <v>0</v>
      </c>
      <c r="I114" s="4">
        <f t="shared" si="3"/>
        <v>0</v>
      </c>
    </row>
    <row r="115" spans="6:9" x14ac:dyDescent="0.35">
      <c r="F115" s="4">
        <f t="shared" si="2"/>
        <v>0</v>
      </c>
      <c r="I115" s="4">
        <f t="shared" si="3"/>
        <v>0</v>
      </c>
    </row>
    <row r="116" spans="6:9" x14ac:dyDescent="0.35">
      <c r="F116" s="4">
        <f t="shared" si="2"/>
        <v>0</v>
      </c>
      <c r="I116" s="4">
        <f t="shared" si="3"/>
        <v>0</v>
      </c>
    </row>
    <row r="117" spans="6:9" x14ac:dyDescent="0.35">
      <c r="F117" s="4">
        <f t="shared" si="2"/>
        <v>0</v>
      </c>
      <c r="I117" s="4">
        <f t="shared" si="3"/>
        <v>0</v>
      </c>
    </row>
    <row r="118" spans="6:9" x14ac:dyDescent="0.35">
      <c r="F118" s="4">
        <f t="shared" si="2"/>
        <v>0</v>
      </c>
      <c r="I118" s="4">
        <f t="shared" si="3"/>
        <v>0</v>
      </c>
    </row>
    <row r="119" spans="6:9" x14ac:dyDescent="0.35">
      <c r="F119" s="4">
        <f t="shared" si="2"/>
        <v>0</v>
      </c>
      <c r="I119" s="4">
        <f t="shared" si="3"/>
        <v>0</v>
      </c>
    </row>
    <row r="120" spans="6:9" x14ac:dyDescent="0.35">
      <c r="F120" s="4">
        <f t="shared" si="2"/>
        <v>0</v>
      </c>
      <c r="I120" s="4">
        <f t="shared" si="3"/>
        <v>0</v>
      </c>
    </row>
    <row r="121" spans="6:9" x14ac:dyDescent="0.35">
      <c r="F121" s="4">
        <f t="shared" si="2"/>
        <v>0</v>
      </c>
      <c r="I121" s="4">
        <f t="shared" si="3"/>
        <v>0</v>
      </c>
    </row>
    <row r="122" spans="6:9" x14ac:dyDescent="0.35">
      <c r="F122" s="4">
        <f t="shared" si="2"/>
        <v>0</v>
      </c>
      <c r="I122" s="4">
        <f t="shared" si="3"/>
        <v>0</v>
      </c>
    </row>
    <row r="123" spans="6:9" x14ac:dyDescent="0.35">
      <c r="F123" s="4">
        <f t="shared" si="2"/>
        <v>0</v>
      </c>
      <c r="I123" s="4">
        <f t="shared" si="3"/>
        <v>0</v>
      </c>
    </row>
    <row r="124" spans="6:9" x14ac:dyDescent="0.35">
      <c r="F124" s="4">
        <f t="shared" si="2"/>
        <v>0</v>
      </c>
      <c r="I124" s="4">
        <f t="shared" si="3"/>
        <v>0</v>
      </c>
    </row>
    <row r="125" spans="6:9" x14ac:dyDescent="0.35">
      <c r="F125" s="4">
        <f t="shared" si="2"/>
        <v>0</v>
      </c>
      <c r="I125" s="4">
        <f t="shared" si="3"/>
        <v>0</v>
      </c>
    </row>
    <row r="126" spans="6:9" x14ac:dyDescent="0.35">
      <c r="F126" s="4">
        <f t="shared" si="2"/>
        <v>0</v>
      </c>
      <c r="I126" s="4">
        <f t="shared" si="3"/>
        <v>0</v>
      </c>
    </row>
    <row r="127" spans="6:9" x14ac:dyDescent="0.35">
      <c r="F127" s="4">
        <f t="shared" si="2"/>
        <v>0</v>
      </c>
      <c r="I127" s="4">
        <f t="shared" si="3"/>
        <v>0</v>
      </c>
    </row>
    <row r="128" spans="6:9" x14ac:dyDescent="0.35">
      <c r="F128" s="4">
        <f t="shared" si="2"/>
        <v>0</v>
      </c>
      <c r="I128" s="4">
        <f t="shared" si="3"/>
        <v>0</v>
      </c>
    </row>
    <row r="129" spans="6:9" x14ac:dyDescent="0.35">
      <c r="F129" s="4">
        <f t="shared" si="2"/>
        <v>0</v>
      </c>
      <c r="I129" s="4">
        <f t="shared" si="3"/>
        <v>0</v>
      </c>
    </row>
    <row r="130" spans="6:9" x14ac:dyDescent="0.35">
      <c r="F130" s="4">
        <f t="shared" si="2"/>
        <v>0</v>
      </c>
      <c r="I130" s="4">
        <f t="shared" si="3"/>
        <v>0</v>
      </c>
    </row>
    <row r="131" spans="6:9" x14ac:dyDescent="0.35">
      <c r="F131" s="4">
        <f t="shared" si="2"/>
        <v>0</v>
      </c>
      <c r="I131" s="4">
        <f t="shared" si="3"/>
        <v>0</v>
      </c>
    </row>
    <row r="132" spans="6:9" x14ac:dyDescent="0.35">
      <c r="F132" s="4">
        <f t="shared" si="2"/>
        <v>0</v>
      </c>
      <c r="I132" s="4">
        <f t="shared" si="3"/>
        <v>0</v>
      </c>
    </row>
    <row r="133" spans="6:9" x14ac:dyDescent="0.35">
      <c r="F133" s="4">
        <f t="shared" si="2"/>
        <v>0</v>
      </c>
      <c r="I133" s="4">
        <f t="shared" si="3"/>
        <v>0</v>
      </c>
    </row>
    <row r="134" spans="6:9" x14ac:dyDescent="0.35">
      <c r="F134" s="4">
        <f t="shared" ref="F134:F197" si="4">IFERROR(D134/E134,0)</f>
        <v>0</v>
      </c>
      <c r="I134" s="4">
        <f t="shared" ref="I134:I197" si="5">IFERROR(F134*H134,0)+G134</f>
        <v>0</v>
      </c>
    </row>
    <row r="135" spans="6:9" x14ac:dyDescent="0.35">
      <c r="F135" s="4">
        <f t="shared" si="4"/>
        <v>0</v>
      </c>
      <c r="I135" s="4">
        <f t="shared" si="5"/>
        <v>0</v>
      </c>
    </row>
    <row r="136" spans="6:9" x14ac:dyDescent="0.35">
      <c r="F136" s="4">
        <f t="shared" si="4"/>
        <v>0</v>
      </c>
      <c r="I136" s="4">
        <f t="shared" si="5"/>
        <v>0</v>
      </c>
    </row>
    <row r="137" spans="6:9" x14ac:dyDescent="0.35">
      <c r="F137" s="4">
        <f t="shared" si="4"/>
        <v>0</v>
      </c>
      <c r="I137" s="4">
        <f t="shared" si="5"/>
        <v>0</v>
      </c>
    </row>
    <row r="138" spans="6:9" x14ac:dyDescent="0.35">
      <c r="F138" s="4">
        <f t="shared" si="4"/>
        <v>0</v>
      </c>
      <c r="I138" s="4">
        <f t="shared" si="5"/>
        <v>0</v>
      </c>
    </row>
    <row r="139" spans="6:9" x14ac:dyDescent="0.35">
      <c r="F139" s="4">
        <f t="shared" si="4"/>
        <v>0</v>
      </c>
      <c r="I139" s="4">
        <f t="shared" si="5"/>
        <v>0</v>
      </c>
    </row>
    <row r="140" spans="6:9" x14ac:dyDescent="0.35">
      <c r="F140" s="4">
        <f t="shared" si="4"/>
        <v>0</v>
      </c>
      <c r="I140" s="4">
        <f t="shared" si="5"/>
        <v>0</v>
      </c>
    </row>
    <row r="141" spans="6:9" x14ac:dyDescent="0.35">
      <c r="F141" s="4">
        <f t="shared" si="4"/>
        <v>0</v>
      </c>
      <c r="I141" s="4">
        <f t="shared" si="5"/>
        <v>0</v>
      </c>
    </row>
    <row r="142" spans="6:9" x14ac:dyDescent="0.35">
      <c r="F142" s="4">
        <f t="shared" si="4"/>
        <v>0</v>
      </c>
      <c r="I142" s="4">
        <f t="shared" si="5"/>
        <v>0</v>
      </c>
    </row>
    <row r="143" spans="6:9" x14ac:dyDescent="0.35">
      <c r="F143" s="4">
        <f t="shared" si="4"/>
        <v>0</v>
      </c>
      <c r="I143" s="4">
        <f t="shared" si="5"/>
        <v>0</v>
      </c>
    </row>
    <row r="144" spans="6:9" x14ac:dyDescent="0.35">
      <c r="F144" s="4">
        <f t="shared" si="4"/>
        <v>0</v>
      </c>
      <c r="I144" s="4">
        <f t="shared" si="5"/>
        <v>0</v>
      </c>
    </row>
    <row r="145" spans="6:9" x14ac:dyDescent="0.35">
      <c r="F145" s="4">
        <f t="shared" si="4"/>
        <v>0</v>
      </c>
      <c r="I145" s="4">
        <f t="shared" si="5"/>
        <v>0</v>
      </c>
    </row>
    <row r="146" spans="6:9" x14ac:dyDescent="0.35">
      <c r="F146" s="4">
        <f t="shared" si="4"/>
        <v>0</v>
      </c>
      <c r="I146" s="4">
        <f t="shared" si="5"/>
        <v>0</v>
      </c>
    </row>
    <row r="147" spans="6:9" x14ac:dyDescent="0.35">
      <c r="F147" s="4">
        <f t="shared" si="4"/>
        <v>0</v>
      </c>
      <c r="I147" s="4">
        <f t="shared" si="5"/>
        <v>0</v>
      </c>
    </row>
    <row r="148" spans="6:9" x14ac:dyDescent="0.35">
      <c r="F148" s="4">
        <f t="shared" si="4"/>
        <v>0</v>
      </c>
      <c r="I148" s="4">
        <f t="shared" si="5"/>
        <v>0</v>
      </c>
    </row>
    <row r="149" spans="6:9" x14ac:dyDescent="0.35">
      <c r="F149" s="4">
        <f t="shared" si="4"/>
        <v>0</v>
      </c>
      <c r="I149" s="4">
        <f t="shared" si="5"/>
        <v>0</v>
      </c>
    </row>
    <row r="150" spans="6:9" x14ac:dyDescent="0.35">
      <c r="F150" s="4">
        <f t="shared" si="4"/>
        <v>0</v>
      </c>
      <c r="I150" s="4">
        <f t="shared" si="5"/>
        <v>0</v>
      </c>
    </row>
    <row r="151" spans="6:9" x14ac:dyDescent="0.35">
      <c r="F151" s="4">
        <f t="shared" si="4"/>
        <v>0</v>
      </c>
      <c r="I151" s="4">
        <f t="shared" si="5"/>
        <v>0</v>
      </c>
    </row>
    <row r="152" spans="6:9" x14ac:dyDescent="0.35">
      <c r="F152" s="4">
        <f t="shared" si="4"/>
        <v>0</v>
      </c>
      <c r="I152" s="4">
        <f t="shared" si="5"/>
        <v>0</v>
      </c>
    </row>
    <row r="153" spans="6:9" x14ac:dyDescent="0.35">
      <c r="F153" s="4">
        <f t="shared" si="4"/>
        <v>0</v>
      </c>
      <c r="I153" s="4">
        <f t="shared" si="5"/>
        <v>0</v>
      </c>
    </row>
    <row r="154" spans="6:9" x14ac:dyDescent="0.35">
      <c r="F154" s="4">
        <f t="shared" si="4"/>
        <v>0</v>
      </c>
      <c r="I154" s="4">
        <f t="shared" si="5"/>
        <v>0</v>
      </c>
    </row>
    <row r="155" spans="6:9" x14ac:dyDescent="0.35">
      <c r="F155" s="4">
        <f t="shared" si="4"/>
        <v>0</v>
      </c>
      <c r="I155" s="4">
        <f t="shared" si="5"/>
        <v>0</v>
      </c>
    </row>
    <row r="156" spans="6:9" x14ac:dyDescent="0.35">
      <c r="F156" s="4">
        <f t="shared" si="4"/>
        <v>0</v>
      </c>
      <c r="I156" s="4">
        <f t="shared" si="5"/>
        <v>0</v>
      </c>
    </row>
    <row r="157" spans="6:9" x14ac:dyDescent="0.35">
      <c r="F157" s="4">
        <f t="shared" si="4"/>
        <v>0</v>
      </c>
      <c r="I157" s="4">
        <f t="shared" si="5"/>
        <v>0</v>
      </c>
    </row>
    <row r="158" spans="6:9" x14ac:dyDescent="0.35">
      <c r="F158" s="4">
        <f t="shared" si="4"/>
        <v>0</v>
      </c>
      <c r="I158" s="4">
        <f t="shared" si="5"/>
        <v>0</v>
      </c>
    </row>
    <row r="159" spans="6:9" x14ac:dyDescent="0.35">
      <c r="F159" s="4">
        <f t="shared" si="4"/>
        <v>0</v>
      </c>
      <c r="I159" s="4">
        <f t="shared" si="5"/>
        <v>0</v>
      </c>
    </row>
    <row r="160" spans="6:9" x14ac:dyDescent="0.35">
      <c r="F160" s="4">
        <f t="shared" si="4"/>
        <v>0</v>
      </c>
      <c r="I160" s="4">
        <f t="shared" si="5"/>
        <v>0</v>
      </c>
    </row>
    <row r="161" spans="6:9" x14ac:dyDescent="0.35">
      <c r="F161" s="4">
        <f t="shared" si="4"/>
        <v>0</v>
      </c>
      <c r="I161" s="4">
        <f t="shared" si="5"/>
        <v>0</v>
      </c>
    </row>
    <row r="162" spans="6:9" x14ac:dyDescent="0.35">
      <c r="F162" s="4">
        <f t="shared" si="4"/>
        <v>0</v>
      </c>
      <c r="I162" s="4">
        <f t="shared" si="5"/>
        <v>0</v>
      </c>
    </row>
    <row r="163" spans="6:9" x14ac:dyDescent="0.35">
      <c r="F163" s="4">
        <f t="shared" si="4"/>
        <v>0</v>
      </c>
      <c r="I163" s="4">
        <f t="shared" si="5"/>
        <v>0</v>
      </c>
    </row>
    <row r="164" spans="6:9" x14ac:dyDescent="0.35">
      <c r="F164" s="4">
        <f t="shared" si="4"/>
        <v>0</v>
      </c>
      <c r="I164" s="4">
        <f t="shared" si="5"/>
        <v>0</v>
      </c>
    </row>
    <row r="165" spans="6:9" x14ac:dyDescent="0.35">
      <c r="F165" s="4">
        <f t="shared" si="4"/>
        <v>0</v>
      </c>
      <c r="I165" s="4">
        <f t="shared" si="5"/>
        <v>0</v>
      </c>
    </row>
    <row r="166" spans="6:9" x14ac:dyDescent="0.35">
      <c r="F166" s="4">
        <f t="shared" si="4"/>
        <v>0</v>
      </c>
      <c r="I166" s="4">
        <f t="shared" si="5"/>
        <v>0</v>
      </c>
    </row>
    <row r="167" spans="6:9" x14ac:dyDescent="0.35">
      <c r="F167" s="4">
        <f t="shared" si="4"/>
        <v>0</v>
      </c>
      <c r="I167" s="4">
        <f t="shared" si="5"/>
        <v>0</v>
      </c>
    </row>
    <row r="168" spans="6:9" x14ac:dyDescent="0.35">
      <c r="F168" s="4">
        <f t="shared" si="4"/>
        <v>0</v>
      </c>
      <c r="I168" s="4">
        <f t="shared" si="5"/>
        <v>0</v>
      </c>
    </row>
    <row r="169" spans="6:9" x14ac:dyDescent="0.35">
      <c r="F169" s="4">
        <f t="shared" si="4"/>
        <v>0</v>
      </c>
      <c r="I169" s="4">
        <f t="shared" si="5"/>
        <v>0</v>
      </c>
    </row>
    <row r="170" spans="6:9" x14ac:dyDescent="0.35">
      <c r="F170" s="4">
        <f t="shared" si="4"/>
        <v>0</v>
      </c>
      <c r="I170" s="4">
        <f t="shared" si="5"/>
        <v>0</v>
      </c>
    </row>
    <row r="171" spans="6:9" x14ac:dyDescent="0.35">
      <c r="F171" s="4">
        <f t="shared" si="4"/>
        <v>0</v>
      </c>
      <c r="I171" s="4">
        <f t="shared" si="5"/>
        <v>0</v>
      </c>
    </row>
    <row r="172" spans="6:9" x14ac:dyDescent="0.35">
      <c r="F172" s="4">
        <f t="shared" si="4"/>
        <v>0</v>
      </c>
      <c r="I172" s="4">
        <f t="shared" si="5"/>
        <v>0</v>
      </c>
    </row>
    <row r="173" spans="6:9" x14ac:dyDescent="0.35">
      <c r="F173" s="4">
        <f t="shared" si="4"/>
        <v>0</v>
      </c>
      <c r="I173" s="4">
        <f t="shared" si="5"/>
        <v>0</v>
      </c>
    </row>
    <row r="174" spans="6:9" x14ac:dyDescent="0.35">
      <c r="F174" s="4">
        <f t="shared" si="4"/>
        <v>0</v>
      </c>
      <c r="I174" s="4">
        <f t="shared" si="5"/>
        <v>0</v>
      </c>
    </row>
    <row r="175" spans="6:9" x14ac:dyDescent="0.35">
      <c r="F175" s="4">
        <f t="shared" si="4"/>
        <v>0</v>
      </c>
      <c r="I175" s="4">
        <f t="shared" si="5"/>
        <v>0</v>
      </c>
    </row>
    <row r="176" spans="6:9" x14ac:dyDescent="0.35">
      <c r="F176" s="4">
        <f t="shared" si="4"/>
        <v>0</v>
      </c>
      <c r="I176" s="4">
        <f t="shared" si="5"/>
        <v>0</v>
      </c>
    </row>
    <row r="177" spans="6:9" x14ac:dyDescent="0.35">
      <c r="F177" s="4">
        <f t="shared" si="4"/>
        <v>0</v>
      </c>
      <c r="I177" s="4">
        <f t="shared" si="5"/>
        <v>0</v>
      </c>
    </row>
    <row r="178" spans="6:9" x14ac:dyDescent="0.35">
      <c r="F178" s="4">
        <f t="shared" si="4"/>
        <v>0</v>
      </c>
      <c r="I178" s="4">
        <f t="shared" si="5"/>
        <v>0</v>
      </c>
    </row>
    <row r="179" spans="6:9" x14ac:dyDescent="0.35">
      <c r="F179" s="4">
        <f t="shared" si="4"/>
        <v>0</v>
      </c>
      <c r="I179" s="4">
        <f t="shared" si="5"/>
        <v>0</v>
      </c>
    </row>
    <row r="180" spans="6:9" x14ac:dyDescent="0.35">
      <c r="F180" s="4">
        <f t="shared" si="4"/>
        <v>0</v>
      </c>
      <c r="I180" s="4">
        <f t="shared" si="5"/>
        <v>0</v>
      </c>
    </row>
    <row r="181" spans="6:9" x14ac:dyDescent="0.35">
      <c r="F181" s="4">
        <f t="shared" si="4"/>
        <v>0</v>
      </c>
      <c r="I181" s="4">
        <f t="shared" si="5"/>
        <v>0</v>
      </c>
    </row>
    <row r="182" spans="6:9" x14ac:dyDescent="0.35">
      <c r="F182" s="4">
        <f t="shared" si="4"/>
        <v>0</v>
      </c>
      <c r="I182" s="4">
        <f t="shared" si="5"/>
        <v>0</v>
      </c>
    </row>
    <row r="183" spans="6:9" x14ac:dyDescent="0.35">
      <c r="F183" s="4">
        <f t="shared" si="4"/>
        <v>0</v>
      </c>
      <c r="I183" s="4">
        <f t="shared" si="5"/>
        <v>0</v>
      </c>
    </row>
    <row r="184" spans="6:9" x14ac:dyDescent="0.35">
      <c r="F184" s="4">
        <f t="shared" si="4"/>
        <v>0</v>
      </c>
      <c r="I184" s="4">
        <f t="shared" si="5"/>
        <v>0</v>
      </c>
    </row>
    <row r="185" spans="6:9" x14ac:dyDescent="0.35">
      <c r="F185" s="4">
        <f t="shared" si="4"/>
        <v>0</v>
      </c>
      <c r="I185" s="4">
        <f t="shared" si="5"/>
        <v>0</v>
      </c>
    </row>
    <row r="186" spans="6:9" x14ac:dyDescent="0.35">
      <c r="F186" s="4">
        <f t="shared" si="4"/>
        <v>0</v>
      </c>
      <c r="I186" s="4">
        <f t="shared" si="5"/>
        <v>0</v>
      </c>
    </row>
    <row r="187" spans="6:9" x14ac:dyDescent="0.35">
      <c r="F187" s="4">
        <f t="shared" si="4"/>
        <v>0</v>
      </c>
      <c r="I187" s="4">
        <f t="shared" si="5"/>
        <v>0</v>
      </c>
    </row>
    <row r="188" spans="6:9" x14ac:dyDescent="0.35">
      <c r="F188" s="4">
        <f t="shared" si="4"/>
        <v>0</v>
      </c>
      <c r="I188" s="4">
        <f t="shared" si="5"/>
        <v>0</v>
      </c>
    </row>
    <row r="189" spans="6:9" x14ac:dyDescent="0.35">
      <c r="F189" s="4">
        <f t="shared" si="4"/>
        <v>0</v>
      </c>
      <c r="I189" s="4">
        <f t="shared" si="5"/>
        <v>0</v>
      </c>
    </row>
    <row r="190" spans="6:9" x14ac:dyDescent="0.35">
      <c r="F190" s="4">
        <f t="shared" si="4"/>
        <v>0</v>
      </c>
      <c r="I190" s="4">
        <f t="shared" si="5"/>
        <v>0</v>
      </c>
    </row>
    <row r="191" spans="6:9" x14ac:dyDescent="0.35">
      <c r="F191" s="4">
        <f t="shared" si="4"/>
        <v>0</v>
      </c>
      <c r="I191" s="4">
        <f t="shared" si="5"/>
        <v>0</v>
      </c>
    </row>
    <row r="192" spans="6:9" x14ac:dyDescent="0.35">
      <c r="F192" s="4">
        <f t="shared" si="4"/>
        <v>0</v>
      </c>
      <c r="I192" s="4">
        <f t="shared" si="5"/>
        <v>0</v>
      </c>
    </row>
    <row r="193" spans="6:9" x14ac:dyDescent="0.35">
      <c r="F193" s="4">
        <f t="shared" si="4"/>
        <v>0</v>
      </c>
      <c r="I193" s="4">
        <f t="shared" si="5"/>
        <v>0</v>
      </c>
    </row>
    <row r="194" spans="6:9" x14ac:dyDescent="0.35">
      <c r="F194" s="4">
        <f t="shared" si="4"/>
        <v>0</v>
      </c>
      <c r="I194" s="4">
        <f t="shared" si="5"/>
        <v>0</v>
      </c>
    </row>
    <row r="195" spans="6:9" x14ac:dyDescent="0.35">
      <c r="F195" s="4">
        <f t="shared" si="4"/>
        <v>0</v>
      </c>
      <c r="I195" s="4">
        <f t="shared" si="5"/>
        <v>0</v>
      </c>
    </row>
    <row r="196" spans="6:9" x14ac:dyDescent="0.35">
      <c r="F196" s="4">
        <f t="shared" si="4"/>
        <v>0</v>
      </c>
      <c r="I196" s="4">
        <f t="shared" si="5"/>
        <v>0</v>
      </c>
    </row>
    <row r="197" spans="6:9" x14ac:dyDescent="0.35">
      <c r="F197" s="4">
        <f t="shared" si="4"/>
        <v>0</v>
      </c>
      <c r="I197" s="4">
        <f t="shared" si="5"/>
        <v>0</v>
      </c>
    </row>
    <row r="198" spans="6:9" x14ac:dyDescent="0.35">
      <c r="F198" s="4">
        <f t="shared" ref="F198:F261" si="6">IFERROR(D198/E198,0)</f>
        <v>0</v>
      </c>
      <c r="I198" s="4">
        <f t="shared" ref="I198:I261" si="7">IFERROR(F198*H198,0)+G198</f>
        <v>0</v>
      </c>
    </row>
    <row r="199" spans="6:9" x14ac:dyDescent="0.35">
      <c r="F199" s="4">
        <f t="shared" si="6"/>
        <v>0</v>
      </c>
      <c r="I199" s="4">
        <f t="shared" si="7"/>
        <v>0</v>
      </c>
    </row>
    <row r="200" spans="6:9" x14ac:dyDescent="0.35">
      <c r="F200" s="4">
        <f t="shared" si="6"/>
        <v>0</v>
      </c>
      <c r="I200" s="4">
        <f t="shared" si="7"/>
        <v>0</v>
      </c>
    </row>
    <row r="201" spans="6:9" x14ac:dyDescent="0.35">
      <c r="F201" s="4">
        <f t="shared" si="6"/>
        <v>0</v>
      </c>
      <c r="I201" s="4">
        <f t="shared" si="7"/>
        <v>0</v>
      </c>
    </row>
    <row r="202" spans="6:9" x14ac:dyDescent="0.35">
      <c r="F202" s="4">
        <f t="shared" si="6"/>
        <v>0</v>
      </c>
      <c r="I202" s="4">
        <f t="shared" si="7"/>
        <v>0</v>
      </c>
    </row>
    <row r="203" spans="6:9" x14ac:dyDescent="0.35">
      <c r="F203" s="4">
        <f t="shared" si="6"/>
        <v>0</v>
      </c>
      <c r="I203" s="4">
        <f t="shared" si="7"/>
        <v>0</v>
      </c>
    </row>
    <row r="204" spans="6:9" x14ac:dyDescent="0.35">
      <c r="F204" s="4">
        <f t="shared" si="6"/>
        <v>0</v>
      </c>
      <c r="I204" s="4">
        <f t="shared" si="7"/>
        <v>0</v>
      </c>
    </row>
    <row r="205" spans="6:9" x14ac:dyDescent="0.35">
      <c r="F205" s="4">
        <f t="shared" si="6"/>
        <v>0</v>
      </c>
      <c r="I205" s="4">
        <f t="shared" si="7"/>
        <v>0</v>
      </c>
    </row>
    <row r="206" spans="6:9" x14ac:dyDescent="0.35">
      <c r="F206" s="4">
        <f t="shared" si="6"/>
        <v>0</v>
      </c>
      <c r="I206" s="4">
        <f t="shared" si="7"/>
        <v>0</v>
      </c>
    </row>
    <row r="207" spans="6:9" x14ac:dyDescent="0.35">
      <c r="F207" s="4">
        <f t="shared" si="6"/>
        <v>0</v>
      </c>
      <c r="I207" s="4">
        <f t="shared" si="7"/>
        <v>0</v>
      </c>
    </row>
    <row r="208" spans="6:9" x14ac:dyDescent="0.35">
      <c r="F208" s="4">
        <f t="shared" si="6"/>
        <v>0</v>
      </c>
      <c r="I208" s="4">
        <f t="shared" si="7"/>
        <v>0</v>
      </c>
    </row>
    <row r="209" spans="6:9" x14ac:dyDescent="0.35">
      <c r="F209" s="4">
        <f t="shared" si="6"/>
        <v>0</v>
      </c>
      <c r="I209" s="4">
        <f t="shared" si="7"/>
        <v>0</v>
      </c>
    </row>
    <row r="210" spans="6:9" x14ac:dyDescent="0.35">
      <c r="F210" s="4">
        <f t="shared" si="6"/>
        <v>0</v>
      </c>
      <c r="I210" s="4">
        <f t="shared" si="7"/>
        <v>0</v>
      </c>
    </row>
    <row r="211" spans="6:9" x14ac:dyDescent="0.35">
      <c r="F211" s="4">
        <f t="shared" si="6"/>
        <v>0</v>
      </c>
      <c r="I211" s="4">
        <f t="shared" si="7"/>
        <v>0</v>
      </c>
    </row>
    <row r="212" spans="6:9" x14ac:dyDescent="0.35">
      <c r="F212" s="4">
        <f t="shared" si="6"/>
        <v>0</v>
      </c>
      <c r="I212" s="4">
        <f t="shared" si="7"/>
        <v>0</v>
      </c>
    </row>
    <row r="213" spans="6:9" x14ac:dyDescent="0.35">
      <c r="F213" s="4">
        <f t="shared" si="6"/>
        <v>0</v>
      </c>
      <c r="I213" s="4">
        <f t="shared" si="7"/>
        <v>0</v>
      </c>
    </row>
    <row r="214" spans="6:9" x14ac:dyDescent="0.35">
      <c r="F214" s="4">
        <f t="shared" si="6"/>
        <v>0</v>
      </c>
      <c r="I214" s="4">
        <f t="shared" si="7"/>
        <v>0</v>
      </c>
    </row>
    <row r="215" spans="6:9" x14ac:dyDescent="0.35">
      <c r="F215" s="4">
        <f t="shared" si="6"/>
        <v>0</v>
      </c>
      <c r="I215" s="4">
        <f t="shared" si="7"/>
        <v>0</v>
      </c>
    </row>
    <row r="216" spans="6:9" x14ac:dyDescent="0.35">
      <c r="F216" s="4">
        <f t="shared" si="6"/>
        <v>0</v>
      </c>
      <c r="I216" s="4">
        <f t="shared" si="7"/>
        <v>0</v>
      </c>
    </row>
    <row r="217" spans="6:9" x14ac:dyDescent="0.35">
      <c r="F217" s="4">
        <f t="shared" si="6"/>
        <v>0</v>
      </c>
      <c r="I217" s="4">
        <f t="shared" si="7"/>
        <v>0</v>
      </c>
    </row>
    <row r="218" spans="6:9" x14ac:dyDescent="0.35">
      <c r="F218" s="4">
        <f t="shared" si="6"/>
        <v>0</v>
      </c>
      <c r="I218" s="4">
        <f t="shared" si="7"/>
        <v>0</v>
      </c>
    </row>
    <row r="219" spans="6:9" x14ac:dyDescent="0.35">
      <c r="F219" s="4">
        <f t="shared" si="6"/>
        <v>0</v>
      </c>
      <c r="I219" s="4">
        <f t="shared" si="7"/>
        <v>0</v>
      </c>
    </row>
    <row r="220" spans="6:9" x14ac:dyDescent="0.35">
      <c r="F220" s="4">
        <f t="shared" si="6"/>
        <v>0</v>
      </c>
      <c r="I220" s="4">
        <f t="shared" si="7"/>
        <v>0</v>
      </c>
    </row>
    <row r="221" spans="6:9" x14ac:dyDescent="0.35">
      <c r="F221" s="4">
        <f t="shared" si="6"/>
        <v>0</v>
      </c>
      <c r="I221" s="4">
        <f t="shared" si="7"/>
        <v>0</v>
      </c>
    </row>
    <row r="222" spans="6:9" x14ac:dyDescent="0.35">
      <c r="F222" s="4">
        <f t="shared" si="6"/>
        <v>0</v>
      </c>
      <c r="I222" s="4">
        <f t="shared" si="7"/>
        <v>0</v>
      </c>
    </row>
    <row r="223" spans="6:9" x14ac:dyDescent="0.35">
      <c r="F223" s="4">
        <f t="shared" si="6"/>
        <v>0</v>
      </c>
      <c r="I223" s="4">
        <f t="shared" si="7"/>
        <v>0</v>
      </c>
    </row>
    <row r="224" spans="6:9" x14ac:dyDescent="0.35">
      <c r="F224" s="4">
        <f t="shared" si="6"/>
        <v>0</v>
      </c>
      <c r="I224" s="4">
        <f t="shared" si="7"/>
        <v>0</v>
      </c>
    </row>
    <row r="225" spans="6:9" x14ac:dyDescent="0.35">
      <c r="F225" s="4">
        <f t="shared" si="6"/>
        <v>0</v>
      </c>
      <c r="I225" s="4">
        <f t="shared" si="7"/>
        <v>0</v>
      </c>
    </row>
    <row r="226" spans="6:9" x14ac:dyDescent="0.35">
      <c r="F226" s="4">
        <f t="shared" si="6"/>
        <v>0</v>
      </c>
      <c r="I226" s="4">
        <f t="shared" si="7"/>
        <v>0</v>
      </c>
    </row>
    <row r="227" spans="6:9" x14ac:dyDescent="0.35">
      <c r="F227" s="4">
        <f t="shared" si="6"/>
        <v>0</v>
      </c>
      <c r="I227" s="4">
        <f t="shared" si="7"/>
        <v>0</v>
      </c>
    </row>
    <row r="228" spans="6:9" x14ac:dyDescent="0.35">
      <c r="F228" s="4">
        <f t="shared" si="6"/>
        <v>0</v>
      </c>
      <c r="I228" s="4">
        <f t="shared" si="7"/>
        <v>0</v>
      </c>
    </row>
    <row r="229" spans="6:9" x14ac:dyDescent="0.35">
      <c r="F229" s="4">
        <f t="shared" si="6"/>
        <v>0</v>
      </c>
      <c r="I229" s="4">
        <f t="shared" si="7"/>
        <v>0</v>
      </c>
    </row>
    <row r="230" spans="6:9" x14ac:dyDescent="0.35">
      <c r="F230" s="4">
        <f t="shared" si="6"/>
        <v>0</v>
      </c>
      <c r="I230" s="4">
        <f t="shared" si="7"/>
        <v>0</v>
      </c>
    </row>
    <row r="231" spans="6:9" x14ac:dyDescent="0.35">
      <c r="F231" s="4">
        <f t="shared" si="6"/>
        <v>0</v>
      </c>
      <c r="I231" s="4">
        <f t="shared" si="7"/>
        <v>0</v>
      </c>
    </row>
    <row r="232" spans="6:9" x14ac:dyDescent="0.35">
      <c r="F232" s="4">
        <f t="shared" si="6"/>
        <v>0</v>
      </c>
      <c r="I232" s="4">
        <f t="shared" si="7"/>
        <v>0</v>
      </c>
    </row>
    <row r="233" spans="6:9" x14ac:dyDescent="0.35">
      <c r="F233" s="4">
        <f t="shared" si="6"/>
        <v>0</v>
      </c>
      <c r="I233" s="4">
        <f t="shared" si="7"/>
        <v>0</v>
      </c>
    </row>
    <row r="234" spans="6:9" x14ac:dyDescent="0.35">
      <c r="F234" s="4">
        <f t="shared" si="6"/>
        <v>0</v>
      </c>
      <c r="I234" s="4">
        <f t="shared" si="7"/>
        <v>0</v>
      </c>
    </row>
    <row r="235" spans="6:9" x14ac:dyDescent="0.35">
      <c r="F235" s="4">
        <f t="shared" si="6"/>
        <v>0</v>
      </c>
      <c r="I235" s="4">
        <f t="shared" si="7"/>
        <v>0</v>
      </c>
    </row>
    <row r="236" spans="6:9" x14ac:dyDescent="0.35">
      <c r="F236" s="4">
        <f t="shared" si="6"/>
        <v>0</v>
      </c>
      <c r="I236" s="4">
        <f t="shared" si="7"/>
        <v>0</v>
      </c>
    </row>
    <row r="237" spans="6:9" x14ac:dyDescent="0.35">
      <c r="F237" s="4">
        <f t="shared" si="6"/>
        <v>0</v>
      </c>
      <c r="I237" s="4">
        <f t="shared" si="7"/>
        <v>0</v>
      </c>
    </row>
    <row r="238" spans="6:9" x14ac:dyDescent="0.35">
      <c r="F238" s="4">
        <f t="shared" si="6"/>
        <v>0</v>
      </c>
      <c r="I238" s="4">
        <f t="shared" si="7"/>
        <v>0</v>
      </c>
    </row>
    <row r="239" spans="6:9" x14ac:dyDescent="0.35">
      <c r="F239" s="4">
        <f t="shared" si="6"/>
        <v>0</v>
      </c>
      <c r="I239" s="4">
        <f t="shared" si="7"/>
        <v>0</v>
      </c>
    </row>
    <row r="240" spans="6:9" x14ac:dyDescent="0.35">
      <c r="F240" s="4">
        <f t="shared" si="6"/>
        <v>0</v>
      </c>
      <c r="I240" s="4">
        <f t="shared" si="7"/>
        <v>0</v>
      </c>
    </row>
    <row r="241" spans="6:9" x14ac:dyDescent="0.35">
      <c r="F241" s="4">
        <f t="shared" si="6"/>
        <v>0</v>
      </c>
      <c r="I241" s="4">
        <f t="shared" si="7"/>
        <v>0</v>
      </c>
    </row>
    <row r="242" spans="6:9" x14ac:dyDescent="0.35">
      <c r="F242" s="4">
        <f t="shared" si="6"/>
        <v>0</v>
      </c>
      <c r="I242" s="4">
        <f t="shared" si="7"/>
        <v>0</v>
      </c>
    </row>
    <row r="243" spans="6:9" x14ac:dyDescent="0.35">
      <c r="F243" s="4">
        <f t="shared" si="6"/>
        <v>0</v>
      </c>
      <c r="I243" s="4">
        <f t="shared" si="7"/>
        <v>0</v>
      </c>
    </row>
    <row r="244" spans="6:9" x14ac:dyDescent="0.35">
      <c r="F244" s="4">
        <f t="shared" si="6"/>
        <v>0</v>
      </c>
      <c r="I244" s="4">
        <f t="shared" si="7"/>
        <v>0</v>
      </c>
    </row>
    <row r="245" spans="6:9" x14ac:dyDescent="0.35">
      <c r="F245" s="4">
        <f t="shared" si="6"/>
        <v>0</v>
      </c>
      <c r="I245" s="4">
        <f t="shared" si="7"/>
        <v>0</v>
      </c>
    </row>
    <row r="246" spans="6:9" x14ac:dyDescent="0.35">
      <c r="F246" s="4">
        <f t="shared" si="6"/>
        <v>0</v>
      </c>
      <c r="I246" s="4">
        <f t="shared" si="7"/>
        <v>0</v>
      </c>
    </row>
    <row r="247" spans="6:9" x14ac:dyDescent="0.35">
      <c r="F247" s="4">
        <f t="shared" si="6"/>
        <v>0</v>
      </c>
      <c r="I247" s="4">
        <f t="shared" si="7"/>
        <v>0</v>
      </c>
    </row>
    <row r="248" spans="6:9" x14ac:dyDescent="0.35">
      <c r="F248" s="4">
        <f t="shared" si="6"/>
        <v>0</v>
      </c>
      <c r="I248" s="4">
        <f t="shared" si="7"/>
        <v>0</v>
      </c>
    </row>
    <row r="249" spans="6:9" x14ac:dyDescent="0.35">
      <c r="F249" s="4">
        <f t="shared" si="6"/>
        <v>0</v>
      </c>
      <c r="I249" s="4">
        <f t="shared" si="7"/>
        <v>0</v>
      </c>
    </row>
    <row r="250" spans="6:9" x14ac:dyDescent="0.35">
      <c r="F250" s="4">
        <f t="shared" si="6"/>
        <v>0</v>
      </c>
      <c r="I250" s="4">
        <f t="shared" si="7"/>
        <v>0</v>
      </c>
    </row>
    <row r="251" spans="6:9" x14ac:dyDescent="0.35">
      <c r="F251" s="4">
        <f t="shared" si="6"/>
        <v>0</v>
      </c>
      <c r="I251" s="4">
        <f t="shared" si="7"/>
        <v>0</v>
      </c>
    </row>
    <row r="252" spans="6:9" x14ac:dyDescent="0.35">
      <c r="F252" s="4">
        <f t="shared" si="6"/>
        <v>0</v>
      </c>
      <c r="I252" s="4">
        <f t="shared" si="7"/>
        <v>0</v>
      </c>
    </row>
    <row r="253" spans="6:9" x14ac:dyDescent="0.35">
      <c r="F253" s="4">
        <f t="shared" si="6"/>
        <v>0</v>
      </c>
      <c r="I253" s="4">
        <f t="shared" si="7"/>
        <v>0</v>
      </c>
    </row>
    <row r="254" spans="6:9" x14ac:dyDescent="0.35">
      <c r="F254" s="4">
        <f t="shared" si="6"/>
        <v>0</v>
      </c>
      <c r="I254" s="4">
        <f t="shared" si="7"/>
        <v>0</v>
      </c>
    </row>
    <row r="255" spans="6:9" x14ac:dyDescent="0.35">
      <c r="F255" s="4">
        <f t="shared" si="6"/>
        <v>0</v>
      </c>
      <c r="I255" s="4">
        <f t="shared" si="7"/>
        <v>0</v>
      </c>
    </row>
    <row r="256" spans="6:9" x14ac:dyDescent="0.35">
      <c r="F256" s="4">
        <f t="shared" si="6"/>
        <v>0</v>
      </c>
      <c r="I256" s="4">
        <f t="shared" si="7"/>
        <v>0</v>
      </c>
    </row>
    <row r="257" spans="6:9" x14ac:dyDescent="0.35">
      <c r="F257" s="4">
        <f t="shared" si="6"/>
        <v>0</v>
      </c>
      <c r="I257" s="4">
        <f t="shared" si="7"/>
        <v>0</v>
      </c>
    </row>
    <row r="258" spans="6:9" x14ac:dyDescent="0.35">
      <c r="F258" s="4">
        <f t="shared" si="6"/>
        <v>0</v>
      </c>
      <c r="I258" s="4">
        <f t="shared" si="7"/>
        <v>0</v>
      </c>
    </row>
    <row r="259" spans="6:9" x14ac:dyDescent="0.35">
      <c r="F259" s="4">
        <f t="shared" si="6"/>
        <v>0</v>
      </c>
      <c r="I259" s="4">
        <f t="shared" si="7"/>
        <v>0</v>
      </c>
    </row>
    <row r="260" spans="6:9" x14ac:dyDescent="0.35">
      <c r="F260" s="4">
        <f t="shared" si="6"/>
        <v>0</v>
      </c>
      <c r="I260" s="4">
        <f t="shared" si="7"/>
        <v>0</v>
      </c>
    </row>
    <row r="261" spans="6:9" x14ac:dyDescent="0.35">
      <c r="F261" s="4">
        <f t="shared" si="6"/>
        <v>0</v>
      </c>
      <c r="I261" s="4">
        <f t="shared" si="7"/>
        <v>0</v>
      </c>
    </row>
    <row r="262" spans="6:9" x14ac:dyDescent="0.35">
      <c r="F262" s="4">
        <f t="shared" ref="F262:F273" si="8">IFERROR(D262/E262,0)</f>
        <v>0</v>
      </c>
      <c r="I262" s="4">
        <f t="shared" ref="I262:I273" si="9">IFERROR(F262*H262,0)+G262</f>
        <v>0</v>
      </c>
    </row>
    <row r="263" spans="6:9" x14ac:dyDescent="0.35">
      <c r="F263" s="4">
        <f t="shared" si="8"/>
        <v>0</v>
      </c>
      <c r="I263" s="4">
        <f t="shared" si="9"/>
        <v>0</v>
      </c>
    </row>
    <row r="264" spans="6:9" x14ac:dyDescent="0.35">
      <c r="F264" s="4">
        <f t="shared" si="8"/>
        <v>0</v>
      </c>
      <c r="I264" s="4">
        <f t="shared" si="9"/>
        <v>0</v>
      </c>
    </row>
    <row r="265" spans="6:9" x14ac:dyDescent="0.35">
      <c r="F265" s="4">
        <f t="shared" si="8"/>
        <v>0</v>
      </c>
      <c r="I265" s="4">
        <f t="shared" si="9"/>
        <v>0</v>
      </c>
    </row>
    <row r="266" spans="6:9" x14ac:dyDescent="0.35">
      <c r="F266" s="4">
        <f t="shared" si="8"/>
        <v>0</v>
      </c>
      <c r="I266" s="4">
        <f t="shared" si="9"/>
        <v>0</v>
      </c>
    </row>
    <row r="267" spans="6:9" x14ac:dyDescent="0.35">
      <c r="F267" s="4">
        <f t="shared" si="8"/>
        <v>0</v>
      </c>
      <c r="I267" s="4">
        <f t="shared" si="9"/>
        <v>0</v>
      </c>
    </row>
    <row r="268" spans="6:9" x14ac:dyDescent="0.35">
      <c r="F268" s="4">
        <f t="shared" si="8"/>
        <v>0</v>
      </c>
      <c r="I268" s="4">
        <f t="shared" si="9"/>
        <v>0</v>
      </c>
    </row>
    <row r="269" spans="6:9" x14ac:dyDescent="0.35">
      <c r="F269" s="4">
        <f t="shared" si="8"/>
        <v>0</v>
      </c>
      <c r="I269" s="4">
        <f t="shared" si="9"/>
        <v>0</v>
      </c>
    </row>
    <row r="270" spans="6:9" x14ac:dyDescent="0.35">
      <c r="F270" s="4">
        <f t="shared" si="8"/>
        <v>0</v>
      </c>
      <c r="I270" s="4">
        <f t="shared" si="9"/>
        <v>0</v>
      </c>
    </row>
    <row r="271" spans="6:9" x14ac:dyDescent="0.35">
      <c r="F271" s="4">
        <f t="shared" si="8"/>
        <v>0</v>
      </c>
      <c r="I271" s="4">
        <f t="shared" si="9"/>
        <v>0</v>
      </c>
    </row>
    <row r="272" spans="6:9" x14ac:dyDescent="0.35">
      <c r="F272" s="4">
        <f t="shared" si="8"/>
        <v>0</v>
      </c>
      <c r="I272" s="4">
        <f t="shared" si="9"/>
        <v>0</v>
      </c>
    </row>
    <row r="273" spans="6:9" x14ac:dyDescent="0.35">
      <c r="F273" s="4">
        <f t="shared" si="8"/>
        <v>0</v>
      </c>
      <c r="I273" s="4">
        <f t="shared" si="9"/>
        <v>0</v>
      </c>
    </row>
  </sheetData>
  <mergeCells count="11">
    <mergeCell ref="A16:A17"/>
    <mergeCell ref="J19:J27"/>
    <mergeCell ref="A19:A27"/>
    <mergeCell ref="J2:J4"/>
    <mergeCell ref="A2:A4"/>
    <mergeCell ref="A5:A6"/>
    <mergeCell ref="J5:J6"/>
    <mergeCell ref="A13:A15"/>
    <mergeCell ref="J13:J15"/>
    <mergeCell ref="A7:A9"/>
    <mergeCell ref="J7:J9"/>
  </mergeCells>
  <hyperlinks>
    <hyperlink ref="B2" r:id="rId1" tooltip="氟胶O型圈外12-450线径4mm0形密封圈橡胶胶圈耐高温皮圈大全垫圈" display="https://item.taobao.com/item.htm?id=673574488705&amp;from=cart&amp;skuId=5711071359906&amp;mi_id=0000ezzfiTE3Qwk7Wplwo7CGVFrfvpDikYHIiU7HOQsUU5Y&amp;upStreamPrice=1620" xr:uid="{372FE8AB-3E64-4F5C-BAC5-59D225390D21}"/>
    <hyperlink ref="B3" r:id="rId2" tooltip="氟胶O型圈耐高温腐蚀密封圈线径1/1.2/1.5/1.9/2.4/3.1/3.5/4/5mm" display="https://item.taobao.com/item.htm?id=774230751154&amp;from=cart&amp;skuId=5469033463785&amp;mi_id=0000OoAuoWmkmROkawR9XEK294Nh3BNDQOttEZ8znJP2fA8&amp;upStreamPrice=330" xr:uid="{5BE00A36-1B27-4567-8BFD-00AFD2AE6AF2}"/>
    <hyperlink ref="B4" r:id="rId3" tooltip="氟胶O型圈耐高温腐蚀密封圈线径1/1.2/1.5/1.9/2.4/3.1/3.5/4/5mm" display="https://item.taobao.com/item.htm?id=774230751154&amp;from=cart&amp;skuId=5469033463787&amp;mi_id=0000OoAuoWmkmROkawR9XEK294Nh3BNDQOttEZ8znJP2fA8&amp;upStreamPrice=350" xr:uid="{E6C0D1D4-F667-4F92-A6D3-DCBF9DB9AF57}"/>
    <hyperlink ref="B5" r:id="rId4" tooltip="【4S-6S远航电池】JP30A品带码18650 21700续航电池AstroRC" display="https://item.taobao.com/item.htm?id=838880984185&amp;from=cart&amp;skuId=5946761481635&amp;mi_id=0000xEOhY-cFDglTMoTwkjgCEyKP_3-HiRkhcpZFPpJhZtE&amp;upStreamPrice=15930" xr:uid="{8F579852-9549-4488-ABC4-A4107498AB17}"/>
    <hyperlink ref="B6" r:id="rId5" tooltip="6串7串三元锂电保护板航模吸尘器助力车洗车机电批电钻储能30A50A" display="https://item.taobao.com/item.htm?spm=a1z0d.6639537%2F202410.item.d875391725096.48077484nZbz6p&amp;id=875391725096&amp;from=cart&amp;skuId=5880358639395&amp;mi_id=0000qxeOiZtJMEYyVCEmuq_zT2q2cfK64lZ6Kr_ATpMjd8o&amp;upStreamPrice=3200" xr:uid="{822897AC-F1A1-4F11-BECA-A06ACB1E21FE}"/>
    <hyperlink ref="B8" r:id="rId6" tooltip="金属开关按钮大电流户外P68水下防水交直流加工中心松刀按钮开关" display="https://item.taobao.com/item.htm?spm=a1z0d.6639537%2F202410.item.d797044978629.48077484cTHZii&amp;id=797044978629&amp;from=cart&amp;skuId=5435698057369&amp;mi_id=0000H78klWKzsG-4bGR5WQ0x7mkP04LsMkxMe6u0tqcU33U&amp;upStreamPrice=2000" xr:uid="{E665F966-63BA-45B8-A371-7551A5A34ABA}"/>
    <hyperlink ref="B12" r:id="rId7" tooltip="DMH3510无刷直流电机达妙科技轮毂电机直驱电机带驱动编码器" display="https://item.taobao.com/item.htm?id=871173947758&amp;from=cart&amp;skuId=5872003791067&amp;mi_id=00005ijur_jlgY-K-RPsmhozKCoapaVzahcm1-GNV75Ghtc&amp;upStreamPrice=22000" xr:uid="{77B07EF8-9440-47BC-BCB1-0C577019C26E}"/>
    <hyperlink ref="B13" r:id="rId8" tooltip="圆柱形强磁超强磁铁吸铁石高强度磁钢圆形铷钕铁硼强磁片磁扣" display="https://item.taobao.com/item.htm?id=918274679105&amp;from=cart&amp;skuId=5956275279443&amp;mi_id=0000jrjNs_x7ehMxbB2EN6xK3N4XGu436N1T_EoRlwxtVvc&amp;upStreamPrice=1125" xr:uid="{3879902A-947F-4DEA-977A-F491893D56C2}"/>
    <hyperlink ref="B14" r:id="rId9" tooltip="圆柱形强磁超强磁铁吸铁石高强度磁钢圆形铷钕铁硼强磁片磁扣" display="https://item.taobao.com/item.htm?id=918274679105&amp;from=cart&amp;skuId=5956275279439&amp;mi_id=0000jrjNs_x7ehMxbB2EN6xK3N4XGu436N1T_EoRlwxtVvc&amp;upStreamPrice=550" xr:uid="{AA963255-EB1B-4F11-AE86-0E67301553D1}"/>
    <hyperlink ref="B15" r:id="rId10" tooltip="圆柱形强磁超强磁铁吸铁石高强度磁钢圆形铷钕铁硼强磁片磁扣" display="https://item.taobao.com/item.htm?id=918274679105&amp;from=cart&amp;skuId=5956275279463&amp;mi_id=0000jrjNs_x7ehMxbB2EN6xK3N4XGu436N1T_EoRlwxtVvc&amp;upStreamPrice=1521" xr:uid="{FAB963CC-EF5F-4685-B55A-BC6FC0FCDB02}"/>
    <hyperlink ref="B16" r:id="rId11" tooltip="尼龙POM6000 6006 6200 6201 6202 6203树脂6205工程防水塑料轴承" display="https://item.taobao.com/item.htm?spm=a1z0d.6639537/202410.item.d782440333215.5c5b7484guwC3a&amp;id=782440333215&amp;from=cart&amp;skuId=5341835656817&amp;mi_id=0000dOkRHBowYPdnJ2EXjU_5GOK66mandA1dUiZxoNxk7gA&amp;upStreamPrice=370" xr:uid="{B2DC7A1E-1053-43F2-A8FE-6D3B638EB3BD}"/>
    <hyperlink ref="B17" r:id="rId12" tooltip="轴承61800 61801 61802 61803 61804 61805 61806 61807ZZ/2RS" display="https://item.taobao.com/item.htm?spm=a1z0d.6639537/202410.item.d619718750156.5c5b7484guwC3a&amp;id=619718750156&amp;from=cart&amp;skuId=5738161741449&amp;mi_id=00001kME2ZU1ZmdcDFuE_mYFvpmqMlkbezFFe6Ycq1syAvg&amp;upStreamPrice=270" xr:uid="{AD0914DA-61C3-403A-B70B-F07AD822F295}"/>
    <hyperlink ref="B9" r:id="rId13" tooltip="瑞莎 Radxa Dragon Q6A 迷你主板 高通 QCS6490 12TOPS LPDDR5" display="https://item.taobao.com/item.htm?id=962936728970&amp;from=cart&amp;skuId=6119740358776&amp;mi_id=0000HGPWSVGdtEYESPXYTTfFA6VzHT10tRpj8MTKbGJwusI&amp;upStreamPrice=87900" xr:uid="{0B4354C8-00D8-4FAC-A9D9-1CD5009860A8}"/>
    <hyperlink ref="B18" r:id="rId14" tooltip="防水航空插头插座GX16-2芯3芯4芯5芯6芯7P8孔9/10连接器塑料款M16" display="https://item.taobao.com/item.htm?id=715467235763&amp;from=cart&amp;skuId=5175080435883&amp;mi_id=0000q8klQvfadu3xHLzLHSTbcV6GWzsTg39XiEQ3iYRx7to&amp;upStreamPrice=20" xr:uid="{D16C5937-4F22-4112-8719-CF747F2251B3}"/>
    <hyperlink ref="B19" r:id="rId15" tooltip="304不锈钢法兰防松螺母 全金属锁紧六角自锁螺丝帽尼龙防滑脱带垫" display="https://item.taobao.com/item.htm?id=601483825433&amp;from=cart&amp;skuId=5351621079821&amp;mi_id=0000m-a1R8lCy_1LqbQPKRSeo5_7CHJ6dOaPdu6tHwHAgj4&amp;upStreamPrice=142" xr:uid="{2D9ABF7A-3AF4-4065-9411-60FDCF65F7C6}"/>
    <hyperlink ref="B11" r:id="rId16" display="https://item.taobao.com/item.htm?id=965539482681&amp;mi_id=0000vo1RdLdP3nNMhg3BNTwI2RSlZUXaDXyFjKPyB-iGLR4" xr:uid="{D1EC54B6-DFFD-4832-974C-389D0ACC3F4F}"/>
    <hyperlink ref="B20" r:id="rId17" tooltip="土八热熔螺母注塑铜螺母镶件M1M2M3M4M5M6M8滚花铜螺帽嵌件铜花母" display="https://item.taobao.com/item.htm?id=829126153985&amp;from=cart&amp;skuId=5576291013934&amp;mi_id=0000diM2_sJIUVexC3nkMKgAuehzy4sjnWUqQCLIFMGbjls&amp;upStreamPrice=920" xr:uid="{05AE33A1-F0F7-47FD-A19C-9DC517FCD541}"/>
    <hyperlink ref="B22" r:id="rId18" tooltip="304不锈钢内六角螺丝钉杯头螺栓圆柱头加长M1.6M2M3M4M5M6M8M10mm" display="https://item.taobao.com/item.htm?id=829276904010&amp;from=cart&amp;skuId=5739116711092&amp;mi_id=0000L_H75ilJZdX2soYQ9IgQGvVjA5klb0pWIXEAsK27id4&amp;upStreamPrice=706" xr:uid="{038B07B8-E875-4559-B207-640C229E6493}"/>
    <hyperlink ref="B23" r:id="rId19" tooltip="304不锈钢内六角螺丝钉杯头螺栓圆柱头加长M1.6M2M3M4M5M6M8M10mm" display="https://item.taobao.com/item.htm?id=829276904010&amp;from=cart&amp;skuId=5739116711092&amp;mi_id=0000L_H75ilJZdX2soYQ9IgQGvVjA5klb0pWIXEAsK27id4&amp;upStreamPrice=706" xr:uid="{6933A6F1-00CC-4274-8910-5A8FCD1AD772}"/>
    <hyperlink ref="B21" r:id="rId20" display="https://item.taobao.com/item.htm?id=39229349352&amp;mi_id=0000gzmqhE0dMDkz6L8-I66-zWqzlm6Nkzwn_t3Na3svvoI" xr:uid="{AD919327-7060-4CD7-9F6E-AC9A4BED02D5}"/>
    <hyperlink ref="B24" r:id="rId21" display="https://item.taobao.com/item.htm?id=39229349352&amp;mi_id=0000gzmqhE0dMDkz6L8-I66-zWqzlm6Nkzwn_t3Na3svvoI" xr:uid="{9417C7AF-E820-4F01-B4B3-9E61DA425800}"/>
    <hyperlink ref="B25" r:id="rId22" display="https://item.taobao.com/item.htm?id=732630255887&amp;mi_id=0000485msUVNiM8Lqsf4CXqJFzbIIFg_axgO5HXBagZfbbk" xr:uid="{F94BAA04-3F33-42D6-AD98-5241479C364B}"/>
    <hyperlink ref="B27" r:id="rId23" display="https://item.taobao.com/item.htm?id=42092422468&amp;mi_id=0000CpP_Iy54_Y0KLypPMtsxV60VanSnHdLQwHO3FyMgr2A" xr:uid="{1B79346B-EC74-4D31-9042-4AD6399ED460}"/>
    <hyperlink ref="B10" r:id="rId24" display="https://oshwhub.com/njupt-robomasters/n630" xr:uid="{89884102-519F-4B56-BB78-EFC42F6A7C98}"/>
    <hyperlink ref="B28" r:id="rId25" display="https://item.taobao.com/item.htm?id=779417305529&amp;mi_id=0000-tTI99gQzV0ze1JAv1Cid4Z3adHfppc9uOYo4-hqZvg" xr:uid="{508FF0C0-E9DC-42E3-8851-D5A80872B125}"/>
    <hyperlink ref="B29" r:id="rId26" display="https://item.taobao.com/item.htm?id=654604396342&amp;mi_id=0000S09AzKO46RlFTwflNwkMInEzy4XbZ1SwvTNBqtGgxF8" xr:uid="{A1966B38-3517-47EB-8F84-24E8B3F0DDE3}"/>
  </hyperlinks>
  <pageMargins left="0.7" right="0.7" top="0.75" bottom="0.75" header="0.3" footer="0.3"/>
  <pageSetup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 Xiao</dc:creator>
  <cp:lastModifiedBy>Bai Xiao</cp:lastModifiedBy>
  <dcterms:created xsi:type="dcterms:W3CDTF">2015-06-05T18:17:20Z</dcterms:created>
  <dcterms:modified xsi:type="dcterms:W3CDTF">2026-04-21T17:15:55Z</dcterms:modified>
</cp:coreProperties>
</file>